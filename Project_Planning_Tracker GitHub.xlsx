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xmi\Downloads\"/>
    </mc:Choice>
  </mc:AlternateContent>
  <xr:revisionPtr revIDLastSave="0" documentId="13_ncr:1_{229854D8-6912-40C4-B77E-251C3691DC0E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Project 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3" i="1" l="1"/>
  <c r="B13" i="2"/>
  <c r="B12" i="2"/>
  <c r="B11" i="2"/>
  <c r="B7" i="2"/>
  <c r="E6" i="2"/>
  <c r="B6" i="2"/>
  <c r="B5" i="2"/>
  <c r="B4" i="2"/>
  <c r="E3" i="2"/>
  <c r="B3" i="2"/>
  <c r="K27" i="1"/>
  <c r="F27" i="1"/>
  <c r="K26" i="1"/>
  <c r="F26" i="1"/>
  <c r="F23" i="1"/>
  <c r="K22" i="1"/>
  <c r="F22" i="1"/>
  <c r="K21" i="1"/>
  <c r="F21" i="1"/>
  <c r="K18" i="1"/>
  <c r="F18" i="1"/>
  <c r="K17" i="1"/>
  <c r="F17" i="1"/>
  <c r="K16" i="1"/>
  <c r="F16" i="1"/>
  <c r="K13" i="1"/>
  <c r="F13" i="1"/>
  <c r="K12" i="1"/>
  <c r="F12" i="1"/>
  <c r="K11" i="1"/>
  <c r="F11" i="1"/>
  <c r="K10" i="1"/>
  <c r="F10" i="1"/>
  <c r="F7" i="1"/>
  <c r="K6" i="1"/>
  <c r="F6" i="1"/>
  <c r="K5" i="1"/>
  <c r="F5" i="1"/>
  <c r="B8" i="2" l="1"/>
</calcChain>
</file>

<file path=xl/sharedStrings.xml><?xml version="1.0" encoding="utf-8"?>
<sst xmlns="http://schemas.openxmlformats.org/spreadsheetml/2006/main" count="155" uniqueCount="89">
  <si>
    <t>📋  PROJECT PLANNING TRACKER</t>
  </si>
  <si>
    <t>Website Redesign Project  |  Team: Digital Squad  |  Duration: Apr – Jun 2026</t>
  </si>
  <si>
    <t>Task ID</t>
  </si>
  <si>
    <t>Task Name</t>
  </si>
  <si>
    <t>Owner</t>
  </si>
  <si>
    <t>Start Date</t>
  </si>
  <si>
    <t>End Date</t>
  </si>
  <si>
    <t>Duration
(Days)</t>
  </si>
  <si>
    <t>Status</t>
  </si>
  <si>
    <t>Priority</t>
  </si>
  <si>
    <t>Milestone?</t>
  </si>
  <si>
    <t>Depends On
(Task ID)</t>
  </si>
  <si>
    <t>Auto Flag</t>
  </si>
  <si>
    <t>Notes</t>
  </si>
  <si>
    <t xml:space="preserve">  ▶  Phase: Discovery</t>
  </si>
  <si>
    <t>T-01</t>
  </si>
  <si>
    <t>Kickoff Meeting</t>
  </si>
  <si>
    <t>Laxmi Sri Sai</t>
  </si>
  <si>
    <t>Not Started</t>
  </si>
  <si>
    <t>High</t>
  </si>
  <si>
    <t>Yes</t>
  </si>
  <si>
    <t>—</t>
  </si>
  <si>
    <t>Align all stakeholders on goals &amp; scope</t>
  </si>
  <si>
    <t>T-02</t>
  </si>
  <si>
    <t>Requirements Gathering</t>
  </si>
  <si>
    <t>Priya Sharma</t>
  </si>
  <si>
    <t>No</t>
  </si>
  <si>
    <t>Collect feature requests from business units</t>
  </si>
  <si>
    <t>T-03</t>
  </si>
  <si>
    <t>Competitor Analysis</t>
  </si>
  <si>
    <t>Ravi Kumar</t>
  </si>
  <si>
    <t>Medium</t>
  </si>
  <si>
    <t>Benchmark 5 competitor websites</t>
  </si>
  <si>
    <t xml:space="preserve">  ▶  Phase: Planning</t>
  </si>
  <si>
    <t>T-04</t>
  </si>
  <si>
    <t>Define Project Scope</t>
  </si>
  <si>
    <t>Document in scope / out of scope items</t>
  </si>
  <si>
    <t>T-05</t>
  </si>
  <si>
    <t>Create WBS</t>
  </si>
  <si>
    <t>Ananya Reddy</t>
  </si>
  <si>
    <t>Break project into deliverable components</t>
  </si>
  <si>
    <t>T-06</t>
  </si>
  <si>
    <t>Build Gantt Chart</t>
  </si>
  <si>
    <t>Use Google Sheets timeline view</t>
  </si>
  <si>
    <t>T-07</t>
  </si>
  <si>
    <t>Budget Estimation</t>
  </si>
  <si>
    <t>Estimate cost across 4 budget heads</t>
  </si>
  <si>
    <t xml:space="preserve">  ▶  Phase: Design</t>
  </si>
  <si>
    <t>T-08</t>
  </si>
  <si>
    <t>Wireframes – Homepage</t>
  </si>
  <si>
    <t>Sneha Rao</t>
  </si>
  <si>
    <t>Lo-fi wireframes in Figma</t>
  </si>
  <si>
    <t>T-09</t>
  </si>
  <si>
    <t>UI Style Guide</t>
  </si>
  <si>
    <t>Colors, fonts, spacing, button styles</t>
  </si>
  <si>
    <t>T-10</t>
  </si>
  <si>
    <t>Design Review &amp; Approval</t>
  </si>
  <si>
    <t>Sign-off from Product &amp; Marketing heads</t>
  </si>
  <si>
    <t xml:space="preserve">  ▶  Phase: Development</t>
  </si>
  <si>
    <t>T-11</t>
  </si>
  <si>
    <t>Frontend Dev – Homepage</t>
  </si>
  <si>
    <t>Kiran Dev</t>
  </si>
  <si>
    <t>HTML/CSS/JS implementation</t>
  </si>
  <si>
    <t>T-12</t>
  </si>
  <si>
    <t>Backend Integration</t>
  </si>
  <si>
    <t>API connections &amp; CMS setup</t>
  </si>
  <si>
    <t>T-13</t>
  </si>
  <si>
    <t>QA Testing</t>
  </si>
  <si>
    <t>Cross-browser &amp; mobile testing</t>
  </si>
  <si>
    <t xml:space="preserve">  ▶  Phase: Launch</t>
  </si>
  <si>
    <t>T-14</t>
  </si>
  <si>
    <t>UAT Sign-off</t>
  </si>
  <si>
    <t>Final client sign-off before go-live</t>
  </si>
  <si>
    <t>T-15</t>
  </si>
  <si>
    <t>Website Go-Live</t>
  </si>
  <si>
    <t>Deploy to production server</t>
  </si>
  <si>
    <t>📊  PROJECT DASHBOARD  —  Website Redesign</t>
  </si>
  <si>
    <t>TASK STATUS SUMMARY</t>
  </si>
  <si>
    <t>MILESTONES</t>
  </si>
  <si>
    <t>Total Milestones</t>
  </si>
  <si>
    <t>In Progress</t>
  </si>
  <si>
    <t>Completed</t>
  </si>
  <si>
    <t>OVERDUE TASKS</t>
  </si>
  <si>
    <t>Blocked</t>
  </si>
  <si>
    <t>Overdue (not completed)</t>
  </si>
  <si>
    <t>At Risk</t>
  </si>
  <si>
    <t>TOTAL</t>
  </si>
  <si>
    <t>PRIORITY BREAKDOWN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</si>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</sst>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C0504D"/>
        <bgColor rgb="FF993366"/>
      </patternFill>
    </fill>
    <fill>
      <patternFill patternType="solid">
        <fgColor rgb="FFD6E4F0"/>
        <bgColor rgb="FFDDEBF7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164" fontId="5" fillId="7" borderId="2" xfId="0" applyNumberFormat="1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4A235A"/>
      </font>
      <fill>
        <patternFill>
          <bgColor rgb="FFE2CFFF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833C00"/>
      </font>
      <fill>
        <patternFill>
          <bgColor rgb="FFFFDDA8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E2C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E4F0"/>
      <rgbColor rgb="FFFFC7CE"/>
      <rgbColor rgb="FFFCE4D6"/>
      <rgbColor rgb="FFFFDDA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57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0" sqref="G10"/>
    </sheetView>
  </sheetViews>
  <sheetFormatPr defaultColWidth="8.6328125" defaultRowHeight="14.5" x14ac:dyDescent="0.35"/>
  <cols>
    <col min="1" max="1" width="9" customWidth="1"/>
    <col min="2" max="2" width="32" customWidth="1"/>
    <col min="3" max="3" width="16" customWidth="1"/>
    <col min="4" max="5" width="13" customWidth="1"/>
    <col min="6" max="6" width="20.453125" customWidth="1"/>
    <col min="7" max="7" width="14" customWidth="1"/>
    <col min="8" max="8" width="11" customWidth="1"/>
    <col min="9" max="9" width="14.90625" customWidth="1"/>
    <col min="10" max="10" width="21.90625" customWidth="1"/>
    <col min="11" max="11" width="14" customWidth="1"/>
    <col min="12" max="12" width="39.26953125" customWidth="1"/>
  </cols>
  <sheetData>
    <row r="1" spans="1:12" ht="36" customHeight="1" x14ac:dyDescent="0.3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9.5" customHeight="1" x14ac:dyDescent="0.3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36" customHeight="1" x14ac:dyDescent="0.35">
      <c r="A3" s="24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35">
      <c r="A4" s="25" t="s">
        <v>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19.5" customHeight="1" x14ac:dyDescent="0.35">
      <c r="A5" s="2" t="s">
        <v>15</v>
      </c>
      <c r="B5" s="3" t="s">
        <v>16</v>
      </c>
      <c r="C5" s="3" t="s">
        <v>17</v>
      </c>
      <c r="D5" s="4">
        <v>46113</v>
      </c>
      <c r="E5" s="4">
        <v>46113</v>
      </c>
      <c r="F5" s="5">
        <f>E5-D5</f>
        <v>0</v>
      </c>
      <c r="G5" s="2" t="s">
        <v>81</v>
      </c>
      <c r="H5" s="2" t="s">
        <v>19</v>
      </c>
      <c r="I5" s="2" t="s">
        <v>20</v>
      </c>
      <c r="J5" s="2" t="s">
        <v>21</v>
      </c>
      <c r="K5" s="2" t="str">
        <f ca="1">IF(G5="Completed","✅ Done",IF(AND(E5&lt;TODAY(),G5&lt;&gt;"Completed"),"⚠️ Overdue",IF(G5="Blocked","🔴 Blocked","🟢 On Track")))</f>
        <v>✅ Done</v>
      </c>
      <c r="L5" s="3" t="s">
        <v>22</v>
      </c>
    </row>
    <row r="6" spans="1:12" ht="19.5" customHeight="1" x14ac:dyDescent="0.35">
      <c r="A6" s="2" t="s">
        <v>23</v>
      </c>
      <c r="B6" s="3" t="s">
        <v>24</v>
      </c>
      <c r="C6" s="3" t="s">
        <v>25</v>
      </c>
      <c r="D6" s="4">
        <v>46114</v>
      </c>
      <c r="E6" s="4">
        <v>46119</v>
      </c>
      <c r="F6" s="5">
        <f>E6-D6</f>
        <v>5</v>
      </c>
      <c r="G6" s="2" t="s">
        <v>81</v>
      </c>
      <c r="H6" s="2" t="s">
        <v>19</v>
      </c>
      <c r="I6" s="2" t="s">
        <v>26</v>
      </c>
      <c r="J6" s="2" t="s">
        <v>15</v>
      </c>
      <c r="K6" s="2" t="str">
        <f ca="1">IF(G6="Completed","✅ Done",IF(AND(E6&lt;TODAY(),G6&lt;&gt;"Completed"),"⚠️ Overdue",IF(G6="Blocked","🔴 Blocked","🟢 On Track")))</f>
        <v>✅ Done</v>
      </c>
      <c r="L6" s="3" t="s">
        <v>27</v>
      </c>
    </row>
    <row r="7" spans="1:12" ht="19.5" customHeight="1" x14ac:dyDescent="0.35">
      <c r="A7" s="2" t="s">
        <v>28</v>
      </c>
      <c r="B7" s="3" t="s">
        <v>29</v>
      </c>
      <c r="C7" s="3" t="s">
        <v>30</v>
      </c>
      <c r="D7" s="4">
        <v>46115</v>
      </c>
      <c r="E7" s="4">
        <v>46121</v>
      </c>
      <c r="F7" s="5">
        <f>E7-D7</f>
        <v>6</v>
      </c>
      <c r="G7" s="2" t="s">
        <v>81</v>
      </c>
      <c r="H7" s="2" t="s">
        <v>31</v>
      </c>
      <c r="I7" s="2" t="s">
        <v>26</v>
      </c>
      <c r="J7" s="2" t="s">
        <v>15</v>
      </c>
      <c r="K7" s="2"/>
      <c r="L7" s="3" t="s">
        <v>32</v>
      </c>
    </row>
    <row r="9" spans="1:12" ht="18" customHeight="1" x14ac:dyDescent="0.35">
      <c r="A9" s="25" t="s">
        <v>33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19.5" customHeight="1" x14ac:dyDescent="0.35">
      <c r="A10" s="6" t="s">
        <v>34</v>
      </c>
      <c r="B10" s="7" t="s">
        <v>35</v>
      </c>
      <c r="C10" s="7" t="s">
        <v>17</v>
      </c>
      <c r="D10" s="8">
        <v>46122</v>
      </c>
      <c r="E10" s="8">
        <v>46123</v>
      </c>
      <c r="F10" s="9">
        <f>E10-D10</f>
        <v>1</v>
      </c>
      <c r="G10" s="6" t="s">
        <v>81</v>
      </c>
      <c r="H10" s="6" t="s">
        <v>19</v>
      </c>
      <c r="I10" s="6" t="s">
        <v>20</v>
      </c>
      <c r="J10" s="6" t="s">
        <v>23</v>
      </c>
      <c r="K10" s="6" t="str">
        <f ca="1">IF(G10="Completed","✅ Done",IF(AND(E10&lt;TODAY(),G10&lt;&gt;"Completed"),"⚠️ Overdue",IF(G10="Blocked","🔴 Blocked","🟢 On Track")))</f>
        <v>✅ Done</v>
      </c>
      <c r="L10" s="7" t="s">
        <v>36</v>
      </c>
    </row>
    <row r="11" spans="1:12" ht="19.5" customHeight="1" x14ac:dyDescent="0.35">
      <c r="A11" s="6" t="s">
        <v>37</v>
      </c>
      <c r="B11" s="7" t="s">
        <v>38</v>
      </c>
      <c r="C11" s="7" t="s">
        <v>39</v>
      </c>
      <c r="D11" s="8">
        <v>46124</v>
      </c>
      <c r="E11" s="8">
        <v>46126</v>
      </c>
      <c r="F11" s="9">
        <f>E11-D11</f>
        <v>2</v>
      </c>
      <c r="G11" s="6" t="s">
        <v>81</v>
      </c>
      <c r="H11" s="6" t="s">
        <v>19</v>
      </c>
      <c r="I11" s="6" t="s">
        <v>26</v>
      </c>
      <c r="J11" s="6" t="s">
        <v>34</v>
      </c>
      <c r="K11" s="6" t="str">
        <f ca="1">IF(G11="Completed","✅ Done",IF(AND(E11&lt;TODAY(),G11&lt;&gt;"Completed"),"⚠️ Overdue",IF(G11="Blocked","🔴 Blocked","🟢 On Track")))</f>
        <v>✅ Done</v>
      </c>
      <c r="L11" s="7" t="s">
        <v>40</v>
      </c>
    </row>
    <row r="12" spans="1:12" ht="19.5" customHeight="1" x14ac:dyDescent="0.35">
      <c r="A12" s="6" t="s">
        <v>41</v>
      </c>
      <c r="B12" s="7" t="s">
        <v>42</v>
      </c>
      <c r="C12" s="7" t="s">
        <v>17</v>
      </c>
      <c r="D12" s="8">
        <v>46126</v>
      </c>
      <c r="E12" s="8">
        <v>46128</v>
      </c>
      <c r="F12" s="9">
        <f>E12-D12</f>
        <v>2</v>
      </c>
      <c r="G12" s="6" t="s">
        <v>81</v>
      </c>
      <c r="H12" s="6" t="s">
        <v>31</v>
      </c>
      <c r="I12" s="6" t="s">
        <v>26</v>
      </c>
      <c r="J12" s="6" t="s">
        <v>37</v>
      </c>
      <c r="K12" s="6" t="str">
        <f ca="1">IF(G12="Completed","✅ Done",IF(AND(E12&lt;TODAY(),G12&lt;&gt;"Completed"),"⚠️ Overdue",IF(G12="Blocked","🔴 Blocked","🟢 On Track")))</f>
        <v>✅ Done</v>
      </c>
      <c r="L12" s="7" t="s">
        <v>43</v>
      </c>
    </row>
    <row r="13" spans="1:12" ht="19.5" customHeight="1" x14ac:dyDescent="0.35">
      <c r="A13" s="6" t="s">
        <v>44</v>
      </c>
      <c r="B13" s="7" t="s">
        <v>45</v>
      </c>
      <c r="C13" s="7" t="s">
        <v>25</v>
      </c>
      <c r="D13" s="8">
        <v>46127</v>
      </c>
      <c r="E13" s="8">
        <v>46129</v>
      </c>
      <c r="F13" s="9">
        <f>E13-D13</f>
        <v>2</v>
      </c>
      <c r="G13" s="6" t="s">
        <v>81</v>
      </c>
      <c r="H13" s="6" t="s">
        <v>19</v>
      </c>
      <c r="I13" s="6" t="s">
        <v>26</v>
      </c>
      <c r="J13" s="6" t="s">
        <v>34</v>
      </c>
      <c r="K13" s="6" t="str">
        <f ca="1">IF(G13="Completed","✅ Done",IF(AND(E13&lt;TODAY(),G13&lt;&gt;"Completed"),"⚠️ Overdue",IF(G13="Blocked","🔴 Blocked","🟢 On Track")))</f>
        <v>✅ Done</v>
      </c>
      <c r="L13" s="7" t="s">
        <v>46</v>
      </c>
    </row>
    <row r="15" spans="1:12" ht="18" customHeight="1" x14ac:dyDescent="0.35">
      <c r="A15" s="25" t="s">
        <v>47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ht="19.5" customHeight="1" x14ac:dyDescent="0.35">
      <c r="A16" s="10" t="s">
        <v>48</v>
      </c>
      <c r="B16" s="11" t="s">
        <v>49</v>
      </c>
      <c r="C16" s="11" t="s">
        <v>50</v>
      </c>
      <c r="D16" s="12">
        <v>46132</v>
      </c>
      <c r="E16" s="12">
        <v>46137</v>
      </c>
      <c r="F16" s="13">
        <f>E16-D16</f>
        <v>5</v>
      </c>
      <c r="G16" s="10" t="s">
        <v>81</v>
      </c>
      <c r="H16" s="10" t="s">
        <v>19</v>
      </c>
      <c r="I16" s="10" t="s">
        <v>26</v>
      </c>
      <c r="J16" s="10" t="s">
        <v>37</v>
      </c>
      <c r="K16" s="10" t="str">
        <f ca="1">IF(G16="Completed","✅ Done",IF(AND(E16&lt;TODAY(),G16&lt;&gt;"Completed"),"⚠️ Overdue",IF(G16="Blocked","🔴 Blocked","🟢 On Track")))</f>
        <v>✅ Done</v>
      </c>
      <c r="L16" s="11" t="s">
        <v>51</v>
      </c>
    </row>
    <row r="17" spans="1:12" ht="19.5" customHeight="1" x14ac:dyDescent="0.35">
      <c r="A17" s="10" t="s">
        <v>52</v>
      </c>
      <c r="B17" s="11" t="s">
        <v>53</v>
      </c>
      <c r="C17" s="11" t="s">
        <v>50</v>
      </c>
      <c r="D17" s="12">
        <v>46136</v>
      </c>
      <c r="E17" s="12">
        <v>46142</v>
      </c>
      <c r="F17" s="13">
        <f>E17-D17</f>
        <v>6</v>
      </c>
      <c r="G17" s="10" t="s">
        <v>81</v>
      </c>
      <c r="H17" s="10" t="s">
        <v>31</v>
      </c>
      <c r="I17" s="10" t="s">
        <v>26</v>
      </c>
      <c r="J17" s="10" t="s">
        <v>48</v>
      </c>
      <c r="K17" s="10" t="str">
        <f ca="1">IF(G17="Completed","✅ Done",IF(AND(E17&lt;TODAY(),G17&lt;&gt;"Completed"),"⚠️ Overdue",IF(G17="Blocked","🔴 Blocked","🟢 On Track")))</f>
        <v>✅ Done</v>
      </c>
      <c r="L17" s="11" t="s">
        <v>54</v>
      </c>
    </row>
    <row r="18" spans="1:12" ht="19.5" customHeight="1" x14ac:dyDescent="0.35">
      <c r="A18" s="10" t="s">
        <v>55</v>
      </c>
      <c r="B18" s="11" t="s">
        <v>56</v>
      </c>
      <c r="C18" s="11" t="s">
        <v>17</v>
      </c>
      <c r="D18" s="12">
        <v>46143</v>
      </c>
      <c r="E18" s="12">
        <v>46144</v>
      </c>
      <c r="F18" s="13">
        <f>E18-D18</f>
        <v>1</v>
      </c>
      <c r="G18" s="10" t="s">
        <v>81</v>
      </c>
      <c r="H18" s="10" t="s">
        <v>19</v>
      </c>
      <c r="I18" s="10" t="s">
        <v>20</v>
      </c>
      <c r="J18" s="10" t="s">
        <v>52</v>
      </c>
      <c r="K18" s="10" t="str">
        <f ca="1">IF(G18="Completed","✅ Done",IF(AND(E18&lt;TODAY(),G18&lt;&gt;"Completed"),"⚠️ Overdue",IF(G18="Blocked","🔴 Blocked","🟢 On Track")))</f>
        <v>✅ Done</v>
      </c>
      <c r="L18" s="11" t="s">
        <v>57</v>
      </c>
    </row>
    <row r="20" spans="1:12" ht="18" customHeight="1" x14ac:dyDescent="0.35">
      <c r="A20" s="25" t="s">
        <v>58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9.5" customHeight="1" x14ac:dyDescent="0.35">
      <c r="A21" s="14" t="s">
        <v>59</v>
      </c>
      <c r="B21" s="15" t="s">
        <v>60</v>
      </c>
      <c r="C21" s="15" t="s">
        <v>61</v>
      </c>
      <c r="D21" s="16">
        <v>46147</v>
      </c>
      <c r="E21" s="16">
        <v>46162</v>
      </c>
      <c r="F21" s="17">
        <f>E21-D21</f>
        <v>15</v>
      </c>
      <c r="G21" s="14" t="s">
        <v>81</v>
      </c>
      <c r="H21" s="14" t="s">
        <v>19</v>
      </c>
      <c r="I21" s="14" t="s">
        <v>26</v>
      </c>
      <c r="J21" s="14" t="s">
        <v>55</v>
      </c>
      <c r="K21" s="14" t="str">
        <f ca="1">IF(G21="Completed","✅ Done",IF(AND(E21&lt;TODAY(),G21&lt;&gt;"Completed"),"⚠️ Overdue",IF(G21="Blocked","🔴 Blocked","🟢 On Track")))</f>
        <v>✅ Done</v>
      </c>
      <c r="L21" s="15" t="s">
        <v>62</v>
      </c>
    </row>
    <row r="22" spans="1:12" ht="19.5" customHeight="1" x14ac:dyDescent="0.35">
      <c r="A22" s="14" t="s">
        <v>63</v>
      </c>
      <c r="B22" s="15" t="s">
        <v>64</v>
      </c>
      <c r="C22" s="15" t="s">
        <v>61</v>
      </c>
      <c r="D22" s="16">
        <v>46157</v>
      </c>
      <c r="E22" s="16">
        <v>46170</v>
      </c>
      <c r="F22" s="17">
        <f>E22-D22</f>
        <v>13</v>
      </c>
      <c r="G22" s="14" t="s">
        <v>80</v>
      </c>
      <c r="H22" s="14" t="s">
        <v>19</v>
      </c>
      <c r="I22" s="14" t="s">
        <v>26</v>
      </c>
      <c r="J22" s="14" t="s">
        <v>59</v>
      </c>
      <c r="K22" s="14" t="str">
        <f ca="1">IF(G22="Completed","✅ Done",IF(AND(E22&lt;TODAY(),G22&lt;&gt;"Completed"),"⚠️ Overdue",IF(G22="Blocked","🔴 Blocked","🟢 On Track")))</f>
        <v>⚠️ Overdue</v>
      </c>
      <c r="L22" s="15" t="s">
        <v>65</v>
      </c>
    </row>
    <row r="23" spans="1:12" ht="19.5" customHeight="1" x14ac:dyDescent="0.35">
      <c r="A23" s="14" t="s">
        <v>66</v>
      </c>
      <c r="B23" s="15" t="s">
        <v>67</v>
      </c>
      <c r="C23" s="15" t="s">
        <v>39</v>
      </c>
      <c r="D23" s="16">
        <v>46171</v>
      </c>
      <c r="E23" s="16">
        <v>46178</v>
      </c>
      <c r="F23" s="17">
        <f>E23-D23</f>
        <v>7</v>
      </c>
      <c r="G23" s="14" t="s">
        <v>18</v>
      </c>
      <c r="H23" s="14" t="s">
        <v>31</v>
      </c>
      <c r="I23" s="14" t="s">
        <v>26</v>
      </c>
      <c r="J23" s="14" t="s">
        <v>63</v>
      </c>
      <c r="K23" s="14" t="str">
        <f ca="1">IF(G23="Completed","✅ Done",IF(AND(E23&lt;TODAY(),G23&lt;&gt;"Completed"),"⚠️ Overdue",IF(G23="Blocked","🔴 Blocked","🟢 On Track")))</f>
        <v>⚠️ Overdue</v>
      </c>
      <c r="L23" s="15" t="s">
        <v>68</v>
      </c>
    </row>
    <row r="25" spans="1:12" ht="18" customHeight="1" x14ac:dyDescent="0.35">
      <c r="A25" s="25" t="s">
        <v>69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19.5" customHeight="1" x14ac:dyDescent="0.35">
      <c r="A26" s="2" t="s">
        <v>70</v>
      </c>
      <c r="B26" s="3" t="s">
        <v>71</v>
      </c>
      <c r="C26" s="3" t="s">
        <v>17</v>
      </c>
      <c r="D26" s="4">
        <v>46179</v>
      </c>
      <c r="E26" s="4">
        <v>46180</v>
      </c>
      <c r="F26" s="5">
        <f>E26-D26</f>
        <v>1</v>
      </c>
      <c r="G26" s="2" t="s">
        <v>18</v>
      </c>
      <c r="H26" s="2" t="s">
        <v>19</v>
      </c>
      <c r="I26" s="2" t="s">
        <v>20</v>
      </c>
      <c r="J26" s="2" t="s">
        <v>66</v>
      </c>
      <c r="K26" s="2" t="str">
        <f ca="1">IF(G26="Completed","✅ Done",IF(AND(E26&lt;TODAY(),G26&lt;&gt;"Completed"),"⚠️ Overdue",IF(G26="Blocked","🔴 Blocked","🟢 On Track")))</f>
        <v>⚠️ Overdue</v>
      </c>
      <c r="L26" s="3" t="s">
        <v>72</v>
      </c>
    </row>
    <row r="27" spans="1:12" ht="19.5" customHeight="1" x14ac:dyDescent="0.35">
      <c r="A27" s="2" t="s">
        <v>73</v>
      </c>
      <c r="B27" s="3" t="s">
        <v>74</v>
      </c>
      <c r="C27" s="3" t="s">
        <v>61</v>
      </c>
      <c r="D27" s="4">
        <v>46183</v>
      </c>
      <c r="E27" s="4">
        <v>46183</v>
      </c>
      <c r="F27" s="5">
        <f>E27-D27</f>
        <v>0</v>
      </c>
      <c r="G27" s="2" t="s">
        <v>18</v>
      </c>
      <c r="H27" s="2" t="s">
        <v>19</v>
      </c>
      <c r="I27" s="2" t="s">
        <v>20</v>
      </c>
      <c r="J27" s="2" t="s">
        <v>70</v>
      </c>
      <c r="K27" s="2" t="str">
        <f ca="1">IF(G27="Completed","✅ Done",IF(AND(E27&lt;TODAY(),G27&lt;&gt;"Completed"),"⚠️ Overdue",IF(G27="Blocked","🔴 Blocked","🟢 On Track")))</f>
        <v>⚠️ Overdue</v>
      </c>
      <c r="L27" s="3" t="s">
        <v>75</v>
      </c>
    </row>
  </sheetData>
  <mergeCells count="7">
    <mergeCell ref="A20:L20"/>
    <mergeCell ref="A25:L25"/>
    <mergeCell ref="A1:L1"/>
    <mergeCell ref="A2:L2"/>
    <mergeCell ref="A4:L4"/>
    <mergeCell ref="A9:L9"/>
    <mergeCell ref="A15:L15"/>
  </mergeCells>
  <conditionalFormatting sqref="G4:G29">
    <cfRule type="cellIs" dxfId="7" priority="2" operator="equal">
      <formula>"Completed"</formula>
    </cfRule>
    <cfRule type="cellIs" dxfId="6" priority="3" operator="equal">
      <formula>"In Progress"</formula>
    </cfRule>
    <cfRule type="cellIs" dxfId="5" priority="4" operator="equal">
      <formula>"Blocked"</formula>
    </cfRule>
    <cfRule type="cellIs" dxfId="4" priority="5" operator="equal">
      <formula>"At Risk"</formula>
    </cfRule>
  </conditionalFormatting>
  <conditionalFormatting sqref="H4:H29">
    <cfRule type="cellIs" dxfId="3" priority="6" operator="equal">
      <formula>"High"</formula>
    </cfRule>
    <cfRule type="cellIs" dxfId="2" priority="7" operator="equal">
      <formula>"Medium"</formula>
    </cfRule>
    <cfRule type="cellIs" dxfId="1" priority="8" operator="equal">
      <formula>"Low"</formula>
    </cfRule>
  </conditionalFormatting>
  <conditionalFormatting sqref="I4:I29">
    <cfRule type="cellIs" dxfId="0" priority="9" operator="equal">
      <formula>"Yes"</formula>
    </cfRule>
  </conditionalFormatting>
  <dataValidations count="3">
    <dataValidation type="list" sqref="G4:G29" xr:uid="{00000000-0002-0000-0000-000000000000}">
      <formula1>"Not Started,In Progress,Completed,Blocked,At Risk"</formula1>
      <formula2>0</formula2>
    </dataValidation>
    <dataValidation type="list" sqref="H4:H29" xr:uid="{00000000-0002-0000-0000-000001000000}">
      <formula1>"High,Medium,Low"</formula1>
      <formula2>0</formula2>
    </dataValidation>
    <dataValidation type="list" sqref="I4:I29" xr:uid="{00000000-0002-0000-00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zoomScaleNormal="100" workbookViewId="0">
      <selection activeCell="G8" sqref="G8"/>
    </sheetView>
  </sheetViews>
  <sheetFormatPr defaultColWidth="8.6328125" defaultRowHeight="14.5" x14ac:dyDescent="0.35"/>
  <cols>
    <col min="1" max="1" width="22" customWidth="1"/>
    <col min="2" max="2" width="16" customWidth="1"/>
    <col min="3" max="3" width="5" customWidth="1"/>
    <col min="4" max="4" width="22" customWidth="1"/>
    <col min="5" max="5" width="16" customWidth="1"/>
  </cols>
  <sheetData>
    <row r="1" spans="1:8" ht="31.5" customHeight="1" x14ac:dyDescent="0.35">
      <c r="A1" s="28" t="s">
        <v>76</v>
      </c>
      <c r="B1" s="28"/>
      <c r="C1" s="28"/>
      <c r="D1" s="28"/>
      <c r="E1" s="28"/>
      <c r="F1" s="28"/>
      <c r="G1" s="28"/>
      <c r="H1" s="28"/>
    </row>
    <row r="2" spans="1:8" ht="24" customHeight="1" x14ac:dyDescent="0.35">
      <c r="A2" s="29" t="s">
        <v>77</v>
      </c>
      <c r="B2" s="29"/>
      <c r="D2" s="29" t="s">
        <v>78</v>
      </c>
      <c r="E2" s="29"/>
    </row>
    <row r="3" spans="1:8" ht="19.5" customHeight="1" x14ac:dyDescent="0.35">
      <c r="A3" s="18" t="s">
        <v>18</v>
      </c>
      <c r="B3" s="19">
        <f>COUNTIF('Project Tracker'!G:G,"Not Started")</f>
        <v>3</v>
      </c>
      <c r="D3" s="18" t="s">
        <v>79</v>
      </c>
      <c r="E3" s="19">
        <f>COUNTIF('Project Tracker'!I:I,"Yes")</f>
        <v>5</v>
      </c>
    </row>
    <row r="4" spans="1:8" ht="19.5" customHeight="1" x14ac:dyDescent="0.35">
      <c r="A4" s="18" t="s">
        <v>80</v>
      </c>
      <c r="B4" s="19">
        <f>COUNTIF('Project Tracker'!G:G,"In Progress")</f>
        <v>1</v>
      </c>
    </row>
    <row r="5" spans="1:8" ht="19.5" customHeight="1" x14ac:dyDescent="0.35">
      <c r="A5" s="18" t="s">
        <v>81</v>
      </c>
      <c r="B5" s="19">
        <f>COUNTIF('Project Tracker'!G:G,"Completed")</f>
        <v>11</v>
      </c>
      <c r="D5" s="30" t="s">
        <v>82</v>
      </c>
      <c r="E5" s="30"/>
    </row>
    <row r="6" spans="1:8" ht="19.5" customHeight="1" x14ac:dyDescent="0.35">
      <c r="A6" s="18" t="s">
        <v>83</v>
      </c>
      <c r="B6" s="19">
        <f>COUNTIF('Project Tracker'!G:G,"Blocked")</f>
        <v>0</v>
      </c>
      <c r="D6" s="18" t="s">
        <v>84</v>
      </c>
      <c r="E6" s="20">
        <f ca="1">COUNTIFS('Project Tracker'!E:E,"&lt;"&amp;TODAY(),'Project Tracker'!G:G,"&lt;&gt;Completed")</f>
        <v>4</v>
      </c>
    </row>
    <row r="7" spans="1:8" ht="19.5" customHeight="1" x14ac:dyDescent="0.35">
      <c r="A7" s="18" t="s">
        <v>85</v>
      </c>
      <c r="B7" s="19">
        <f>COUNTIF('Project Tracker'!G:G,"At Risk")</f>
        <v>0</v>
      </c>
    </row>
    <row r="8" spans="1:8" ht="19.5" customHeight="1" x14ac:dyDescent="0.35">
      <c r="A8" s="21" t="s">
        <v>86</v>
      </c>
      <c r="B8" s="22">
        <f>SUM(B3:B7)</f>
        <v>15</v>
      </c>
    </row>
    <row r="9" spans="1:8" ht="19.5" customHeight="1" x14ac:dyDescent="0.35"/>
    <row r="10" spans="1:8" ht="19.5" customHeight="1" x14ac:dyDescent="0.35">
      <c r="A10" s="29" t="s">
        <v>87</v>
      </c>
      <c r="B10" s="29"/>
    </row>
    <row r="11" spans="1:8" ht="19.5" customHeight="1" x14ac:dyDescent="0.35">
      <c r="A11" s="18" t="s">
        <v>19</v>
      </c>
      <c r="B11" s="23">
        <f>COUNTIF('Project Tracker'!H:H,"High")</f>
        <v>11</v>
      </c>
    </row>
    <row r="12" spans="1:8" ht="19.5" customHeight="1" x14ac:dyDescent="0.35">
      <c r="A12" s="18" t="s">
        <v>31</v>
      </c>
      <c r="B12" s="23">
        <f>COUNTIF('Project Tracker'!H:H,"Medium")</f>
        <v>4</v>
      </c>
    </row>
    <row r="13" spans="1:8" ht="19.5" customHeight="1" x14ac:dyDescent="0.35">
      <c r="A13" s="18" t="s">
        <v>88</v>
      </c>
      <c r="B13" s="23">
        <f>COUNTIF('Project Tracker'!H:H,"Low")</f>
        <v>0</v>
      </c>
    </row>
    <row r="14" spans="1:8" ht="19.5" customHeight="1" x14ac:dyDescent="0.35"/>
  </sheetData>
  <mergeCells count="5">
    <mergeCell ref="A1:H1"/>
    <mergeCell ref="A2:B2"/>
    <mergeCell ref="D2:E2"/>
    <mergeCell ref="D5:E5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Sappidi Laxmi Sri Sai</cp:lastModifiedBy>
  <cp:revision>0</cp:revision>
  <dcterms:created xsi:type="dcterms:W3CDTF">2026-05-24T08:28:33Z</dcterms:created>
  <dcterms:modified xsi:type="dcterms:W3CDTF">2026-08-11T04:47:33Z</dcterms:modified>
  <dc:language>en-US</dc:language>
</cp:coreProperties>
</file>