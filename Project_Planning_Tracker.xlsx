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axmi\Desktop\"/>
    </mc:Choice>
  </mc:AlternateContent>
  <xr:revisionPtr revIDLastSave="0" documentId="8_{C9CBFFB6-975C-4756-BA25-5167A333DB7B}" xr6:coauthVersionLast="47" xr6:coauthVersionMax="47" xr10:uidLastSave="{00000000-0000-0000-0000-000000000000}"/>
  <bookViews>
    <workbookView xWindow="-110" yWindow="-110" windowWidth="19420" windowHeight="11500" tabRatio="500" xr2:uid="{00000000-000D-0000-FFFF-FFFF00000000}"/>
  </bookViews>
  <sheets>
    <sheet name="Project Tracker" sheetId="1" r:id="rId1"/>
    <sheet name="Dashboard" sheetId="2" r:id="rId2"/>
    <sheet name="📚 Learning Guid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23" i="1" l="1"/>
  <c r="B13" i="2"/>
  <c r="B12" i="2"/>
  <c r="B11" i="2"/>
  <c r="B7" i="2"/>
  <c r="E6" i="2"/>
  <c r="B6" i="2"/>
  <c r="B5" i="2"/>
  <c r="B4" i="2"/>
  <c r="E3" i="2"/>
  <c r="B3" i="2"/>
  <c r="K27" i="1"/>
  <c r="F27" i="1"/>
  <c r="K26" i="1"/>
  <c r="F26" i="1"/>
  <c r="F23" i="1"/>
  <c r="K22" i="1"/>
  <c r="F22" i="1"/>
  <c r="K21" i="1"/>
  <c r="F21" i="1"/>
  <c r="K18" i="1"/>
  <c r="F18" i="1"/>
  <c r="K17" i="1"/>
  <c r="F17" i="1"/>
  <c r="K16" i="1"/>
  <c r="F16" i="1"/>
  <c r="K13" i="1"/>
  <c r="F13" i="1"/>
  <c r="K12" i="1"/>
  <c r="F12" i="1"/>
  <c r="K11" i="1"/>
  <c r="F11" i="1"/>
  <c r="K10" i="1"/>
  <c r="F10" i="1"/>
  <c r="F7" i="1"/>
  <c r="K6" i="1"/>
  <c r="F6" i="1"/>
  <c r="K5" i="1"/>
  <c r="F5" i="1"/>
  <c r="B8" i="2" l="1"/>
</calcChain>
</file>

<file path=xl/sharedStrings.xml><?xml version="1.0" encoding="utf-8"?>
<sst xmlns="http://schemas.openxmlformats.org/spreadsheetml/2006/main" count="204" uniqueCount="138">
  <si>
    <t>📋  PROJECT PLANNING TRACKER</t>
  </si>
  <si>
    <t>Website Redesign Project  |  Team: Digital Squad  |  Duration: Apr – Jun 2026</t>
  </si>
  <si>
    <t>Task ID</t>
  </si>
  <si>
    <t>Task Name</t>
  </si>
  <si>
    <t>Owner</t>
  </si>
  <si>
    <t>Start Date</t>
  </si>
  <si>
    <t>End Date</t>
  </si>
  <si>
    <t>Duration
(Days)</t>
  </si>
  <si>
    <t>Status</t>
  </si>
  <si>
    <t>Priority</t>
  </si>
  <si>
    <t>Milestone?</t>
  </si>
  <si>
    <t>Depends On
(Task ID)</t>
  </si>
  <si>
    <t>Auto Flag</t>
  </si>
  <si>
    <t>Notes</t>
  </si>
  <si>
    <t xml:space="preserve">  ▶  Phase: Discovery</t>
  </si>
  <si>
    <t>T-01</t>
  </si>
  <si>
    <t>Kickoff Meeting</t>
  </si>
  <si>
    <t>Laxmi Sri Sai</t>
  </si>
  <si>
    <t>Not Started</t>
  </si>
  <si>
    <t>High</t>
  </si>
  <si>
    <t>Yes</t>
  </si>
  <si>
    <t>—</t>
  </si>
  <si>
    <t>Align all stakeholders on goals &amp; scope</t>
  </si>
  <si>
    <t>T-02</t>
  </si>
  <si>
    <t>Requirements Gathering</t>
  </si>
  <si>
    <t>Priya Sharma</t>
  </si>
  <si>
    <t>No</t>
  </si>
  <si>
    <t>Collect feature requests from business units</t>
  </si>
  <si>
    <t>T-03</t>
  </si>
  <si>
    <t>Competitor Analysis</t>
  </si>
  <si>
    <t>Ravi Kumar</t>
  </si>
  <si>
    <t>Medium</t>
  </si>
  <si>
    <t>Benchmark 5 competitor websites</t>
  </si>
  <si>
    <t xml:space="preserve">  ▶  Phase: Planning</t>
  </si>
  <si>
    <t>T-04</t>
  </si>
  <si>
    <t>Define Project Scope</t>
  </si>
  <si>
    <t>Document in scope / out of scope items</t>
  </si>
  <si>
    <t>T-05</t>
  </si>
  <si>
    <t>Create WBS</t>
  </si>
  <si>
    <t>Ananya Reddy</t>
  </si>
  <si>
    <t>Break project into deliverable components</t>
  </si>
  <si>
    <t>T-06</t>
  </si>
  <si>
    <t>Build Gantt Chart</t>
  </si>
  <si>
    <t>Use Google Sheets timeline view</t>
  </si>
  <si>
    <t>T-07</t>
  </si>
  <si>
    <t>Budget Estimation</t>
  </si>
  <si>
    <t>Estimate cost across 4 budget heads</t>
  </si>
  <si>
    <t xml:space="preserve">  ▶  Phase: Design</t>
  </si>
  <si>
    <t>T-08</t>
  </si>
  <si>
    <t>Wireframes – Homepage</t>
  </si>
  <si>
    <t>Sneha Rao</t>
  </si>
  <si>
    <t>Lo-fi wireframes in Figma</t>
  </si>
  <si>
    <t>T-09</t>
  </si>
  <si>
    <t>UI Style Guide</t>
  </si>
  <si>
    <t>Colors, fonts, spacing, button styles</t>
  </si>
  <si>
    <t>T-10</t>
  </si>
  <si>
    <t>Design Review &amp; Approval</t>
  </si>
  <si>
    <t>Sign-off from Product &amp; Marketing heads</t>
  </si>
  <si>
    <t xml:space="preserve">  ▶  Phase: Development</t>
  </si>
  <si>
    <t>T-11</t>
  </si>
  <si>
    <t>Frontend Dev – Homepage</t>
  </si>
  <si>
    <t>Kiran Dev</t>
  </si>
  <si>
    <t>HTML/CSS/JS implementation</t>
  </si>
  <si>
    <t>T-12</t>
  </si>
  <si>
    <t>Backend Integration</t>
  </si>
  <si>
    <t>API connections &amp; CMS setup</t>
  </si>
  <si>
    <t>T-13</t>
  </si>
  <si>
    <t>QA Testing</t>
  </si>
  <si>
    <t>Cross-browser &amp; mobile testing</t>
  </si>
  <si>
    <t xml:space="preserve">  ▶  Phase: Launch</t>
  </si>
  <si>
    <t>T-14</t>
  </si>
  <si>
    <t>UAT Sign-off</t>
  </si>
  <si>
    <t>Final client sign-off before go-live</t>
  </si>
  <si>
    <t>T-15</t>
  </si>
  <si>
    <t>Website Go-Live</t>
  </si>
  <si>
    <t>Deploy to production server</t>
  </si>
  <si>
    <t>📊  PROJECT DASHBOARD  —  Website Redesign</t>
  </si>
  <si>
    <t>TASK STATUS SUMMARY</t>
  </si>
  <si>
    <t>MILESTONES</t>
  </si>
  <si>
    <t>Total Milestones</t>
  </si>
  <si>
    <t>In Progress</t>
  </si>
  <si>
    <t>Completed</t>
  </si>
  <si>
    <t>OVERDUE TASKS</t>
  </si>
  <si>
    <t>Blocked</t>
  </si>
  <si>
    <t>Overdue (not completed)</t>
  </si>
  <si>
    <t>At Risk</t>
  </si>
  <si>
    <t>TOTAL</t>
  </si>
  <si>
    <t>PRIORITY BREAKDOWN</t>
  </si>
  <si>
    <t>Low</t>
  </si>
  <si>
    <t>STEP-BY-STEP LEARNING GUIDE - Project Planning Tracker</t>
  </si>
  <si>
    <t>Step</t>
  </si>
  <si>
    <t>What to Do</t>
  </si>
  <si>
    <t>How to Do It (Exact Steps in Excel)</t>
  </si>
  <si>
    <t>1</t>
  </si>
  <si>
    <t>Open Project Tracker sheet</t>
  </si>
  <si>
    <t>Click the 'Project Tracker' tab at the bottom. This is your main working sheet with all 15 tasks pre-loaded.</t>
  </si>
  <si>
    <t>2</t>
  </si>
  <si>
    <t>Understand the columns</t>
  </si>
  <si>
    <t>Task ID = unique code | Owner = who does it | Status = current state | Priority = urgency level | Milestone = key checkpoint | Auto Flag = formula watching deadlines.</t>
  </si>
  <si>
    <t>3</t>
  </si>
  <si>
    <t>Change a task Status</t>
  </si>
  <si>
    <t>Click any cell in column G (Status). A dropdown arrow appears. Click it, select 'In Progress'. Watch the cell turn YELLOW automatically via conditional formatting!</t>
  </si>
  <si>
    <t>4</t>
  </si>
  <si>
    <t>Mark a task Completed</t>
  </si>
  <si>
    <t>Click a Status cell, select 'Completed'. Cell turns GREEN. Now look at column K (Auto Flag) -- it shows Done automatically because of the IF formula.</t>
  </si>
  <si>
    <t>5</t>
  </si>
  <si>
    <t>See the Auto Flag formula</t>
  </si>
  <si>
    <t>Click cell K4. Look at the formula bar at the top. You will see an IF formula that checks Status and End Date to flag overdue tasks. This is the core PM logic.</t>
  </si>
  <si>
    <t>6</t>
  </si>
  <si>
    <t>Understand how overdue works</t>
  </si>
  <si>
    <t>Change Task T-01 End Date (column E) to yesterday. Check column K -- it shows Overdue! Change Status to Completed -- flag clears. This is milestone tracking in action.</t>
  </si>
  <si>
    <t>7</t>
  </si>
  <si>
    <t>Add your own task</t>
  </si>
  <si>
    <t>Scroll to the bottom of any phase. Click an empty row. Type Task ID T-16, fill in name/owner/dates. Copy the Auto Flag formula from K4 and paste into your new row column K.</t>
  </si>
  <si>
    <t>8</t>
  </si>
  <si>
    <t>Filter by Priority</t>
  </si>
  <si>
    <t>Click any header cell, go to Data tab, click AutoFilter. Click the Priority dropdown in column H, uncheck all, check High only. Now only High priority tasks show. Clear filter when done.</t>
  </si>
  <si>
    <t>9</t>
  </si>
  <si>
    <t>Open the Dashboard</t>
  </si>
  <si>
    <t>Click the 'Dashboard' tab. You will see live counts of tasks by Status and Priority. These update AUTOMATICALLY when you change statuses in the tracker!</t>
  </si>
  <si>
    <t>10</t>
  </si>
  <si>
    <t>Understand COUNTIF formula</t>
  </si>
  <si>
    <t>On Dashboard, click cell B3. The formula COUNTIF counts all cells in column G of Project Tracker that say 'Not Started'. Change a status and come back -- the number updates live!</t>
  </si>
  <si>
    <t>11</t>
  </si>
  <si>
    <t>Filter by Owner</t>
  </si>
  <si>
    <t>In Project Tracker, use AutoFilter on the Owner column (C). Filter by your own name to see only your tasks. This simulates how a real PM tracks team workload.</t>
  </si>
  <si>
    <t>12</t>
  </si>
  <si>
    <t>Practice dependency logic</t>
  </si>
  <si>
    <t>Look at column J (Depends On). T-02 depends on T-01. In a real project T-02 cannot start until T-01 is done. Try marking T-01 as Blocked, then update T-02 status to Blocked too.</t>
  </si>
  <si>
    <t>13</t>
  </si>
  <si>
    <t>Identify Milestones</t>
  </si>
  <si>
    <t>Filter column I (Milestone?) = Yes. You will see 5 key milestones highlighted in purple: Kickoff, Scope Defined, Design Approved, UAT, and Go-Live.</t>
  </si>
  <si>
    <t>14</t>
  </si>
  <si>
    <t>Save your practice version</t>
  </si>
  <si>
    <t>File, Save As, rename to MyProjectTracker_Practice.xlsx. Now you have your own copy to experiment with freely without losing the original.</t>
  </si>
  <si>
    <t>15</t>
  </si>
  <si>
    <t>Customise for your own project</t>
  </si>
  <si>
    <t>Replace task names with tasks from your own project idea (event, study plan, etc). Update owners with your team. Change dates. All formulas and formatting work automatically!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</si>
</sst>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10" x14ac:knownFonts="1">
    <font>
      <sz val="11"/>
      <color theme="1"/>
      <name val="Calibri"/>
      <family val="2"/>
      <charset val="1"/>
    </font>
    <font>
      <b/>
      <sz val="16"/>
      <color rgb="FFFFFFFF"/>
      <name val="Arial"/>
      <family val="2"/>
    </font>
    <font>
      <i/>
      <sz val="10"/>
      <color rgb="FF595959"/>
      <name val="Arial"/>
      <family val="2"/>
    </font>
    <font>
      <b/>
      <sz val="11"/>
      <color rgb="FFFFFFFF"/>
      <name val="Arial"/>
      <family val="2"/>
    </font>
    <font>
      <b/>
      <sz val="10"/>
      <color rgb="FFFFFFFF"/>
      <name val="Arial"/>
      <family val="2"/>
    </font>
    <font>
      <sz val="10"/>
      <color rgb="FF000000"/>
      <name val="Arial"/>
      <family val="2"/>
    </font>
    <font>
      <b/>
      <sz val="14"/>
      <color rgb="FFFFFFFF"/>
      <name val="Arial"/>
      <family val="2"/>
    </font>
    <font>
      <b/>
      <sz val="10"/>
      <color rgb="FF000000"/>
      <name val="Arial"/>
      <family val="2"/>
    </font>
    <font>
      <b/>
      <sz val="13"/>
      <color rgb="FFFFFFFF"/>
      <name val="Arial"/>
      <family val="2"/>
    </font>
    <font>
      <sz val="10"/>
      <name val="Arial"/>
      <family val="2"/>
    </font>
  </fonts>
  <fills count="12">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E2EFDA"/>
        <bgColor rgb="FFDDEBF7"/>
      </patternFill>
    </fill>
    <fill>
      <patternFill patternType="solid">
        <fgColor rgb="FFDDEBF7"/>
        <bgColor rgb="FFD6E4F0"/>
      </patternFill>
    </fill>
    <fill>
      <patternFill patternType="solid">
        <fgColor rgb="FFFFF2CC"/>
        <bgColor rgb="FFFCE4D6"/>
      </patternFill>
    </fill>
    <fill>
      <patternFill patternType="solid">
        <fgColor rgb="FFFCE4D6"/>
        <bgColor rgb="FFFFF2CC"/>
      </patternFill>
    </fill>
    <fill>
      <patternFill patternType="solid">
        <fgColor rgb="FFF2F2F2"/>
        <bgColor rgb="FFE2EFDA"/>
      </patternFill>
    </fill>
    <fill>
      <patternFill patternType="solid">
        <fgColor rgb="FFC0504D"/>
        <bgColor rgb="FF993366"/>
      </patternFill>
    </fill>
    <fill>
      <patternFill patternType="solid">
        <fgColor rgb="FFD6E4F0"/>
        <bgColor rgb="FFDDEBF7"/>
      </patternFill>
    </fill>
    <fill>
      <patternFill patternType="solid">
        <fgColor rgb="FFFFFFFF"/>
        <bgColor rgb="FFF2F2F2"/>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bottom style="thin">
        <color rgb="FFFFFFFF"/>
      </bottom>
      <diagonal/>
    </border>
  </borders>
  <cellStyleXfs count="1">
    <xf numFmtId="0" fontId="0" fillId="0" borderId="0"/>
  </cellStyleXfs>
  <cellXfs count="36">
    <xf numFmtId="0" fontId="0" fillId="0" borderId="0" xfId="0"/>
    <xf numFmtId="0" fontId="3" fillId="2" borderId="1" xfId="0" applyFont="1" applyFill="1" applyBorder="1" applyAlignment="1">
      <alignment horizontal="center" vertical="center" wrapText="1"/>
    </xf>
    <xf numFmtId="0" fontId="5" fillId="4" borderId="2" xfId="0" applyFont="1" applyFill="1" applyBorder="1" applyAlignment="1">
      <alignment horizontal="center" vertical="center"/>
    </xf>
    <xf numFmtId="0" fontId="5" fillId="4" borderId="2" xfId="0" applyFont="1" applyFill="1" applyBorder="1" applyAlignment="1">
      <alignment horizontal="left" vertical="center" wrapText="1"/>
    </xf>
    <xf numFmtId="164" fontId="5" fillId="4" borderId="2" xfId="0" applyNumberFormat="1" applyFont="1" applyFill="1" applyBorder="1" applyAlignment="1">
      <alignment horizontal="center" vertical="center"/>
    </xf>
    <xf numFmtId="1" fontId="5" fillId="4" borderId="2" xfId="0" applyNumberFormat="1" applyFont="1" applyFill="1" applyBorder="1" applyAlignment="1">
      <alignment horizontal="center" vertical="center"/>
    </xf>
    <xf numFmtId="0" fontId="5" fillId="5" borderId="2" xfId="0" applyFont="1" applyFill="1" applyBorder="1" applyAlignment="1">
      <alignment horizontal="center" vertical="center"/>
    </xf>
    <xf numFmtId="0" fontId="5" fillId="5" borderId="2" xfId="0" applyFont="1" applyFill="1" applyBorder="1" applyAlignment="1">
      <alignment horizontal="left" vertical="center" wrapText="1"/>
    </xf>
    <xf numFmtId="164" fontId="5" fillId="5" borderId="2" xfId="0" applyNumberFormat="1" applyFont="1" applyFill="1" applyBorder="1" applyAlignment="1">
      <alignment horizontal="center" vertical="center"/>
    </xf>
    <xf numFmtId="1" fontId="5" fillId="5" borderId="2" xfId="0" applyNumberFormat="1" applyFont="1" applyFill="1" applyBorder="1" applyAlignment="1">
      <alignment horizontal="center" vertical="center"/>
    </xf>
    <xf numFmtId="0" fontId="5" fillId="6" borderId="2" xfId="0" applyFont="1" applyFill="1" applyBorder="1" applyAlignment="1">
      <alignment horizontal="center" vertical="center"/>
    </xf>
    <xf numFmtId="0" fontId="5" fillId="6" borderId="2" xfId="0" applyFont="1" applyFill="1" applyBorder="1" applyAlignment="1">
      <alignment horizontal="left" vertical="center" wrapText="1"/>
    </xf>
    <xf numFmtId="164" fontId="5" fillId="6" borderId="2" xfId="0" applyNumberFormat="1" applyFont="1" applyFill="1" applyBorder="1" applyAlignment="1">
      <alignment horizontal="center" vertical="center"/>
    </xf>
    <xf numFmtId="1" fontId="5" fillId="6" borderId="2" xfId="0" applyNumberFormat="1" applyFont="1" applyFill="1" applyBorder="1" applyAlignment="1">
      <alignment horizontal="center" vertical="center"/>
    </xf>
    <xf numFmtId="0" fontId="5" fillId="7" borderId="2" xfId="0" applyFont="1" applyFill="1" applyBorder="1" applyAlignment="1">
      <alignment horizontal="center" vertical="center"/>
    </xf>
    <xf numFmtId="0" fontId="5" fillId="7" borderId="2" xfId="0" applyFont="1" applyFill="1" applyBorder="1" applyAlignment="1">
      <alignment horizontal="left" vertical="center" wrapText="1"/>
    </xf>
    <xf numFmtId="164" fontId="5" fillId="7" borderId="2" xfId="0" applyNumberFormat="1" applyFont="1" applyFill="1" applyBorder="1" applyAlignment="1">
      <alignment horizontal="center" vertical="center"/>
    </xf>
    <xf numFmtId="1" fontId="5" fillId="7" borderId="2" xfId="0" applyNumberFormat="1" applyFont="1" applyFill="1" applyBorder="1" applyAlignment="1">
      <alignment horizontal="center" vertical="center"/>
    </xf>
    <xf numFmtId="0" fontId="5" fillId="8" borderId="2" xfId="0" applyFont="1" applyFill="1" applyBorder="1" applyAlignment="1">
      <alignment horizontal="left" vertical="center" wrapText="1"/>
    </xf>
    <xf numFmtId="0" fontId="5" fillId="8"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7" fillId="10" borderId="2" xfId="0" applyFont="1" applyFill="1" applyBorder="1" applyAlignment="1">
      <alignment horizontal="left" vertical="center" wrapText="1"/>
    </xf>
    <xf numFmtId="0" fontId="7" fillId="10"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4" fillId="3" borderId="2" xfId="0" applyFont="1" applyFill="1" applyBorder="1" applyAlignment="1">
      <alignment horizontal="center" vertical="center" wrapText="1"/>
    </xf>
    <xf numFmtId="0" fontId="4" fillId="3" borderId="2" xfId="0" applyFont="1" applyFill="1" applyBorder="1" applyAlignment="1">
      <alignment horizontal="center" vertical="center"/>
    </xf>
    <xf numFmtId="0" fontId="9" fillId="11" borderId="2" xfId="0" applyFont="1" applyFill="1" applyBorder="1" applyAlignment="1">
      <alignment horizontal="left" vertical="center" wrapText="1"/>
    </xf>
    <xf numFmtId="0" fontId="9" fillId="8" borderId="2" xfId="0" applyFont="1" applyFill="1" applyBorder="1" applyAlignment="1">
      <alignment horizontal="left" vertical="center" wrapText="1"/>
    </xf>
    <xf numFmtId="0" fontId="3" fillId="2" borderId="1" xfId="0" applyFont="1" applyFill="1" applyBorder="1" applyAlignment="1">
      <alignment horizontal="center" vertical="center"/>
    </xf>
    <xf numFmtId="0" fontId="4" fillId="3" borderId="0" xfId="0" applyFont="1" applyFill="1" applyAlignment="1">
      <alignment horizontal="left" vertical="center"/>
    </xf>
    <xf numFmtId="0" fontId="1" fillId="2" borderId="0" xfId="0" applyFont="1" applyFill="1" applyAlignment="1">
      <alignment horizontal="center" vertical="center"/>
    </xf>
    <xf numFmtId="0" fontId="2" fillId="0" borderId="4" xfId="0" applyFont="1" applyBorder="1" applyAlignment="1">
      <alignment horizontal="center" vertical="center"/>
    </xf>
    <xf numFmtId="0" fontId="6" fillId="2" borderId="0" xfId="0" applyFont="1" applyFill="1" applyAlignment="1">
      <alignment horizontal="center" vertical="center"/>
    </xf>
    <xf numFmtId="0" fontId="3" fillId="3" borderId="3" xfId="0" applyFont="1" applyFill="1" applyBorder="1" applyAlignment="1">
      <alignment horizontal="center" vertical="center"/>
    </xf>
    <xf numFmtId="0" fontId="3" fillId="9" borderId="3" xfId="0" applyFont="1" applyFill="1" applyBorder="1" applyAlignment="1">
      <alignment horizontal="center" vertical="center"/>
    </xf>
    <xf numFmtId="0" fontId="8" fillId="2" borderId="0" xfId="0" applyFont="1" applyFill="1" applyAlignment="1">
      <alignment horizontal="center" vertical="center"/>
    </xf>
  </cellXfs>
  <cellStyles count="1">
    <cellStyle name="Normal" xfId="0" builtinId="0"/>
  </cellStyles>
  <dxfs count="8">
    <dxf>
      <font>
        <b/>
        <color rgb="FF4A235A"/>
      </font>
      <fill>
        <patternFill>
          <bgColor rgb="FFE2CFFF"/>
        </patternFill>
      </fill>
    </dxf>
    <dxf>
      <font>
        <b/>
        <color rgb="FF276221"/>
      </font>
      <fill>
        <patternFill>
          <bgColor rgb="FFC6EFCE"/>
        </patternFill>
      </fill>
    </dxf>
    <dxf>
      <font>
        <b/>
        <color rgb="FF9C6500"/>
      </font>
      <fill>
        <patternFill>
          <bgColor rgb="FFFFEB9C"/>
        </patternFill>
      </fill>
    </dxf>
    <dxf>
      <font>
        <b/>
        <color rgb="FF9C0006"/>
      </font>
      <fill>
        <patternFill>
          <bgColor rgb="FFFFC7CE"/>
        </patternFill>
      </fill>
    </dxf>
    <dxf>
      <font>
        <b/>
        <color rgb="FF833C00"/>
      </font>
      <fill>
        <patternFill>
          <bgColor rgb="FFFFDDA8"/>
        </patternFill>
      </fill>
    </dxf>
    <dxf>
      <font>
        <b/>
        <color rgb="FF9C0006"/>
      </font>
      <fill>
        <patternFill>
          <bgColor rgb="FFFFC7CE"/>
        </patternFill>
      </fill>
    </dxf>
    <dxf>
      <font>
        <b/>
        <color rgb="FF9C6500"/>
      </font>
      <fill>
        <patternFill>
          <bgColor rgb="FFFFEB9C"/>
        </patternFill>
      </fill>
    </dxf>
    <dxf>
      <font>
        <b/>
        <color rgb="FF27622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2F2F2"/>
      <rgbColor rgb="FFFF00FF"/>
      <rgbColor rgb="FF00FFFF"/>
      <rgbColor rgb="FF9C0006"/>
      <rgbColor rgb="FF276221"/>
      <rgbColor rgb="FF000080"/>
      <rgbColor rgb="FF9C6500"/>
      <rgbColor rgb="FF800080"/>
      <rgbColor rgb="FF008080"/>
      <rgbColor rgb="FFBFBFBF"/>
      <rgbColor rgb="FF808080"/>
      <rgbColor rgb="FF9999FF"/>
      <rgbColor rgb="FFC0504D"/>
      <rgbColor rgb="FFFFF2CC"/>
      <rgbColor rgb="FFDDEBF7"/>
      <rgbColor rgb="FF660066"/>
      <rgbColor rgb="FFFF8080"/>
      <rgbColor rgb="FF0066CC"/>
      <rgbColor rgb="FFE2CFFF"/>
      <rgbColor rgb="FF000080"/>
      <rgbColor rgb="FFFF00FF"/>
      <rgbColor rgb="FFFFFF00"/>
      <rgbColor rgb="FF00FFFF"/>
      <rgbColor rgb="FF800080"/>
      <rgbColor rgb="FF800000"/>
      <rgbColor rgb="FF008080"/>
      <rgbColor rgb="FF0000FF"/>
      <rgbColor rgb="FF00CCFF"/>
      <rgbColor rgb="FFE2EFDA"/>
      <rgbColor rgb="FFC6EFCE"/>
      <rgbColor rgb="FFFFEB9C"/>
      <rgbColor rgb="FFD6E4F0"/>
      <rgbColor rgb="FFFFC7CE"/>
      <rgbColor rgb="FFFCE4D6"/>
      <rgbColor rgb="FFFFDDA8"/>
      <rgbColor rgb="FF2E75B6"/>
      <rgbColor rgb="FF33CCCC"/>
      <rgbColor rgb="FF99CC00"/>
      <rgbColor rgb="FFFFCC00"/>
      <rgbColor rgb="FFFF9900"/>
      <rgbColor rgb="FFFF6600"/>
      <rgbColor rgb="FF595959"/>
      <rgbColor rgb="FF969696"/>
      <rgbColor rgb="FF1F3864"/>
      <rgbColor rgb="FF339966"/>
      <rgbColor rgb="FF003300"/>
      <rgbColor rgb="FF333300"/>
      <rgbColor rgb="FF833C00"/>
      <rgbColor rgb="FF993366"/>
      <rgbColor rgb="FF333399"/>
      <rgbColor rgb="FF4A23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
  <sheetViews>
    <sheetView tabSelected="1" zoomScale="57" zoomScaleNormal="100" workbookViewId="0">
      <pane xSplit="2" ySplit="3" topLeftCell="C4" activePane="bottomRight" state="frozen"/>
      <selection pane="topRight" activeCell="C1" sqref="C1"/>
      <selection pane="bottomLeft" activeCell="A4" sqref="A4"/>
      <selection pane="bottomRight" activeCell="G10" sqref="G10"/>
    </sheetView>
  </sheetViews>
  <sheetFormatPr defaultColWidth="8.6328125" defaultRowHeight="14.5" x14ac:dyDescent="0.35"/>
  <cols>
    <col min="1" max="1" width="9" customWidth="1"/>
    <col min="2" max="2" width="32" customWidth="1"/>
    <col min="3" max="3" width="16" customWidth="1"/>
    <col min="4" max="5" width="13" customWidth="1"/>
    <col min="6" max="6" width="20.453125" customWidth="1"/>
    <col min="7" max="7" width="14" customWidth="1"/>
    <col min="8" max="8" width="11" customWidth="1"/>
    <col min="9" max="9" width="14.90625" customWidth="1"/>
    <col min="10" max="10" width="21.90625" customWidth="1"/>
    <col min="11" max="11" width="14" customWidth="1"/>
    <col min="12" max="12" width="39.26953125" customWidth="1"/>
  </cols>
  <sheetData>
    <row r="1" spans="1:12" ht="36" customHeight="1" x14ac:dyDescent="0.35">
      <c r="A1" s="30" t="s">
        <v>0</v>
      </c>
      <c r="B1" s="30"/>
      <c r="C1" s="30"/>
      <c r="D1" s="30"/>
      <c r="E1" s="30"/>
      <c r="F1" s="30"/>
      <c r="G1" s="30"/>
      <c r="H1" s="30"/>
      <c r="I1" s="30"/>
      <c r="J1" s="30"/>
      <c r="K1" s="30"/>
      <c r="L1" s="30"/>
    </row>
    <row r="2" spans="1:12" ht="19.5" customHeight="1" x14ac:dyDescent="0.35">
      <c r="A2" s="31" t="s">
        <v>1</v>
      </c>
      <c r="B2" s="31"/>
      <c r="C2" s="31"/>
      <c r="D2" s="31"/>
      <c r="E2" s="31"/>
      <c r="F2" s="31"/>
      <c r="G2" s="31"/>
      <c r="H2" s="31"/>
      <c r="I2" s="31"/>
      <c r="J2" s="31"/>
      <c r="K2" s="31"/>
      <c r="L2" s="31"/>
    </row>
    <row r="3" spans="1:12" ht="36" customHeight="1" x14ac:dyDescent="0.35">
      <c r="A3" s="28" t="s">
        <v>2</v>
      </c>
      <c r="B3" s="1" t="s">
        <v>3</v>
      </c>
      <c r="C3" s="1" t="s">
        <v>4</v>
      </c>
      <c r="D3" s="1" t="s">
        <v>5</v>
      </c>
      <c r="E3" s="1" t="s">
        <v>6</v>
      </c>
      <c r="F3" s="1" t="s">
        <v>7</v>
      </c>
      <c r="G3" s="1" t="s">
        <v>8</v>
      </c>
      <c r="H3" s="1" t="s">
        <v>9</v>
      </c>
      <c r="I3" s="1" t="s">
        <v>10</v>
      </c>
      <c r="J3" s="1" t="s">
        <v>11</v>
      </c>
      <c r="K3" s="1" t="s">
        <v>12</v>
      </c>
      <c r="L3" s="1" t="s">
        <v>13</v>
      </c>
    </row>
    <row r="4" spans="1:12" ht="18" customHeight="1" x14ac:dyDescent="0.35">
      <c r="A4" s="29" t="s">
        <v>14</v>
      </c>
      <c r="B4" s="29"/>
      <c r="C4" s="29"/>
      <c r="D4" s="29"/>
      <c r="E4" s="29"/>
      <c r="F4" s="29"/>
      <c r="G4" s="29"/>
      <c r="H4" s="29"/>
      <c r="I4" s="29"/>
      <c r="J4" s="29"/>
      <c r="K4" s="29"/>
      <c r="L4" s="29"/>
    </row>
    <row r="5" spans="1:12" ht="19.5" customHeight="1" x14ac:dyDescent="0.35">
      <c r="A5" s="2" t="s">
        <v>15</v>
      </c>
      <c r="B5" s="3" t="s">
        <v>16</v>
      </c>
      <c r="C5" s="3" t="s">
        <v>17</v>
      </c>
      <c r="D5" s="4">
        <v>46113</v>
      </c>
      <c r="E5" s="4">
        <v>46113</v>
      </c>
      <c r="F5" s="5">
        <f>E5-D5</f>
        <v>0</v>
      </c>
      <c r="G5" s="2" t="s">
        <v>81</v>
      </c>
      <c r="H5" s="2" t="s">
        <v>19</v>
      </c>
      <c r="I5" s="2" t="s">
        <v>20</v>
      </c>
      <c r="J5" s="2" t="s">
        <v>21</v>
      </c>
      <c r="K5" s="2" t="str">
        <f ca="1">IF(G5="Completed","✅ Done",IF(AND(E5&lt;TODAY(),G5&lt;&gt;"Completed"),"⚠️ Overdue",IF(G5="Blocked","🔴 Blocked","🟢 On Track")))</f>
        <v>✅ Done</v>
      </c>
      <c r="L5" s="3" t="s">
        <v>22</v>
      </c>
    </row>
    <row r="6" spans="1:12" ht="19.5" customHeight="1" x14ac:dyDescent="0.35">
      <c r="A6" s="2" t="s">
        <v>23</v>
      </c>
      <c r="B6" s="3" t="s">
        <v>24</v>
      </c>
      <c r="C6" s="3" t="s">
        <v>25</v>
      </c>
      <c r="D6" s="4">
        <v>46114</v>
      </c>
      <c r="E6" s="4">
        <v>46119</v>
      </c>
      <c r="F6" s="5">
        <f>E6-D6</f>
        <v>5</v>
      </c>
      <c r="G6" s="2" t="s">
        <v>81</v>
      </c>
      <c r="H6" s="2" t="s">
        <v>19</v>
      </c>
      <c r="I6" s="2" t="s">
        <v>26</v>
      </c>
      <c r="J6" s="2" t="s">
        <v>15</v>
      </c>
      <c r="K6" s="2" t="str">
        <f ca="1">IF(G6="Completed","✅ Done",IF(AND(E6&lt;TODAY(),G6&lt;&gt;"Completed"),"⚠️ Overdue",IF(G6="Blocked","🔴 Blocked","🟢 On Track")))</f>
        <v>✅ Done</v>
      </c>
      <c r="L6" s="3" t="s">
        <v>27</v>
      </c>
    </row>
    <row r="7" spans="1:12" ht="19.5" customHeight="1" x14ac:dyDescent="0.35">
      <c r="A7" s="2" t="s">
        <v>28</v>
      </c>
      <c r="B7" s="3" t="s">
        <v>29</v>
      </c>
      <c r="C7" s="3" t="s">
        <v>30</v>
      </c>
      <c r="D7" s="4">
        <v>46115</v>
      </c>
      <c r="E7" s="4">
        <v>46121</v>
      </c>
      <c r="F7" s="5">
        <f>E7-D7</f>
        <v>6</v>
      </c>
      <c r="G7" s="2" t="s">
        <v>81</v>
      </c>
      <c r="H7" s="2" t="s">
        <v>31</v>
      </c>
      <c r="I7" s="2" t="s">
        <v>26</v>
      </c>
      <c r="J7" s="2" t="s">
        <v>15</v>
      </c>
      <c r="K7" s="2"/>
      <c r="L7" s="3" t="s">
        <v>32</v>
      </c>
    </row>
    <row r="9" spans="1:12" ht="18" customHeight="1" x14ac:dyDescent="0.35">
      <c r="A9" s="29" t="s">
        <v>33</v>
      </c>
      <c r="B9" s="29"/>
      <c r="C9" s="29"/>
      <c r="D9" s="29"/>
      <c r="E9" s="29"/>
      <c r="F9" s="29"/>
      <c r="G9" s="29"/>
      <c r="H9" s="29"/>
      <c r="I9" s="29"/>
      <c r="J9" s="29"/>
      <c r="K9" s="29"/>
      <c r="L9" s="29"/>
    </row>
    <row r="10" spans="1:12" ht="19.5" customHeight="1" x14ac:dyDescent="0.35">
      <c r="A10" s="6" t="s">
        <v>34</v>
      </c>
      <c r="B10" s="7" t="s">
        <v>35</v>
      </c>
      <c r="C10" s="7" t="s">
        <v>17</v>
      </c>
      <c r="D10" s="8">
        <v>46122</v>
      </c>
      <c r="E10" s="8">
        <v>46123</v>
      </c>
      <c r="F10" s="9">
        <f>E10-D10</f>
        <v>1</v>
      </c>
      <c r="G10" s="6" t="s">
        <v>81</v>
      </c>
      <c r="H10" s="6" t="s">
        <v>19</v>
      </c>
      <c r="I10" s="6" t="s">
        <v>20</v>
      </c>
      <c r="J10" s="6" t="s">
        <v>23</v>
      </c>
      <c r="K10" s="6" t="str">
        <f ca="1">IF(G10="Completed","✅ Done",IF(AND(E10&lt;TODAY(),G10&lt;&gt;"Completed"),"⚠️ Overdue",IF(G10="Blocked","🔴 Blocked","🟢 On Track")))</f>
        <v>✅ Done</v>
      </c>
      <c r="L10" s="7" t="s">
        <v>36</v>
      </c>
    </row>
    <row r="11" spans="1:12" ht="19.5" customHeight="1" x14ac:dyDescent="0.35">
      <c r="A11" s="6" t="s">
        <v>37</v>
      </c>
      <c r="B11" s="7" t="s">
        <v>38</v>
      </c>
      <c r="C11" s="7" t="s">
        <v>39</v>
      </c>
      <c r="D11" s="8">
        <v>46124</v>
      </c>
      <c r="E11" s="8">
        <v>46126</v>
      </c>
      <c r="F11" s="9">
        <f>E11-D11</f>
        <v>2</v>
      </c>
      <c r="G11" s="6" t="s">
        <v>81</v>
      </c>
      <c r="H11" s="6" t="s">
        <v>19</v>
      </c>
      <c r="I11" s="6" t="s">
        <v>26</v>
      </c>
      <c r="J11" s="6" t="s">
        <v>34</v>
      </c>
      <c r="K11" s="6" t="str">
        <f ca="1">IF(G11="Completed","✅ Done",IF(AND(E11&lt;TODAY(),G11&lt;&gt;"Completed"),"⚠️ Overdue",IF(G11="Blocked","🔴 Blocked","🟢 On Track")))</f>
        <v>✅ Done</v>
      </c>
      <c r="L11" s="7" t="s">
        <v>40</v>
      </c>
    </row>
    <row r="12" spans="1:12" ht="19.5" customHeight="1" x14ac:dyDescent="0.35">
      <c r="A12" s="6" t="s">
        <v>41</v>
      </c>
      <c r="B12" s="7" t="s">
        <v>42</v>
      </c>
      <c r="C12" s="7" t="s">
        <v>17</v>
      </c>
      <c r="D12" s="8">
        <v>46126</v>
      </c>
      <c r="E12" s="8">
        <v>46128</v>
      </c>
      <c r="F12" s="9">
        <f>E12-D12</f>
        <v>2</v>
      </c>
      <c r="G12" s="6" t="s">
        <v>81</v>
      </c>
      <c r="H12" s="6" t="s">
        <v>31</v>
      </c>
      <c r="I12" s="6" t="s">
        <v>26</v>
      </c>
      <c r="J12" s="6" t="s">
        <v>37</v>
      </c>
      <c r="K12" s="6" t="str">
        <f ca="1">IF(G12="Completed","✅ Done",IF(AND(E12&lt;TODAY(),G12&lt;&gt;"Completed"),"⚠️ Overdue",IF(G12="Blocked","🔴 Blocked","🟢 On Track")))</f>
        <v>✅ Done</v>
      </c>
      <c r="L12" s="7" t="s">
        <v>43</v>
      </c>
    </row>
    <row r="13" spans="1:12" ht="19.5" customHeight="1" x14ac:dyDescent="0.35">
      <c r="A13" s="6" t="s">
        <v>44</v>
      </c>
      <c r="B13" s="7" t="s">
        <v>45</v>
      </c>
      <c r="C13" s="7" t="s">
        <v>25</v>
      </c>
      <c r="D13" s="8">
        <v>46127</v>
      </c>
      <c r="E13" s="8">
        <v>46129</v>
      </c>
      <c r="F13" s="9">
        <f>E13-D13</f>
        <v>2</v>
      </c>
      <c r="G13" s="6" t="s">
        <v>81</v>
      </c>
      <c r="H13" s="6" t="s">
        <v>19</v>
      </c>
      <c r="I13" s="6" t="s">
        <v>26</v>
      </c>
      <c r="J13" s="6" t="s">
        <v>34</v>
      </c>
      <c r="K13" s="6" t="str">
        <f ca="1">IF(G13="Completed","✅ Done",IF(AND(E13&lt;TODAY(),G13&lt;&gt;"Completed"),"⚠️ Overdue",IF(G13="Blocked","🔴 Blocked","🟢 On Track")))</f>
        <v>✅ Done</v>
      </c>
      <c r="L13" s="7" t="s">
        <v>46</v>
      </c>
    </row>
    <row r="15" spans="1:12" ht="18" customHeight="1" x14ac:dyDescent="0.35">
      <c r="A15" s="29" t="s">
        <v>47</v>
      </c>
      <c r="B15" s="29"/>
      <c r="C15" s="29"/>
      <c r="D15" s="29"/>
      <c r="E15" s="29"/>
      <c r="F15" s="29"/>
      <c r="G15" s="29"/>
      <c r="H15" s="29"/>
      <c r="I15" s="29"/>
      <c r="J15" s="29"/>
      <c r="K15" s="29"/>
      <c r="L15" s="29"/>
    </row>
    <row r="16" spans="1:12" ht="19.5" customHeight="1" x14ac:dyDescent="0.35">
      <c r="A16" s="10" t="s">
        <v>48</v>
      </c>
      <c r="B16" s="11" t="s">
        <v>49</v>
      </c>
      <c r="C16" s="11" t="s">
        <v>50</v>
      </c>
      <c r="D16" s="12">
        <v>46132</v>
      </c>
      <c r="E16" s="12">
        <v>46137</v>
      </c>
      <c r="F16" s="13">
        <f>E16-D16</f>
        <v>5</v>
      </c>
      <c r="G16" s="10" t="s">
        <v>81</v>
      </c>
      <c r="H16" s="10" t="s">
        <v>19</v>
      </c>
      <c r="I16" s="10" t="s">
        <v>26</v>
      </c>
      <c r="J16" s="10" t="s">
        <v>37</v>
      </c>
      <c r="K16" s="10" t="str">
        <f ca="1">IF(G16="Completed","✅ Done",IF(AND(E16&lt;TODAY(),G16&lt;&gt;"Completed"),"⚠️ Overdue",IF(G16="Blocked","🔴 Blocked","🟢 On Track")))</f>
        <v>✅ Done</v>
      </c>
      <c r="L16" s="11" t="s">
        <v>51</v>
      </c>
    </row>
    <row r="17" spans="1:12" ht="19.5" customHeight="1" x14ac:dyDescent="0.35">
      <c r="A17" s="10" t="s">
        <v>52</v>
      </c>
      <c r="B17" s="11" t="s">
        <v>53</v>
      </c>
      <c r="C17" s="11" t="s">
        <v>50</v>
      </c>
      <c r="D17" s="12">
        <v>46136</v>
      </c>
      <c r="E17" s="12">
        <v>46142</v>
      </c>
      <c r="F17" s="13">
        <f>E17-D17</f>
        <v>6</v>
      </c>
      <c r="G17" s="10" t="s">
        <v>81</v>
      </c>
      <c r="H17" s="10" t="s">
        <v>31</v>
      </c>
      <c r="I17" s="10" t="s">
        <v>26</v>
      </c>
      <c r="J17" s="10" t="s">
        <v>48</v>
      </c>
      <c r="K17" s="10" t="str">
        <f ca="1">IF(G17="Completed","✅ Done",IF(AND(E17&lt;TODAY(),G17&lt;&gt;"Completed"),"⚠️ Overdue",IF(G17="Blocked","🔴 Blocked","🟢 On Track")))</f>
        <v>✅ Done</v>
      </c>
      <c r="L17" s="11" t="s">
        <v>54</v>
      </c>
    </row>
    <row r="18" spans="1:12" ht="19.5" customHeight="1" x14ac:dyDescent="0.35">
      <c r="A18" s="10" t="s">
        <v>55</v>
      </c>
      <c r="B18" s="11" t="s">
        <v>56</v>
      </c>
      <c r="C18" s="11" t="s">
        <v>17</v>
      </c>
      <c r="D18" s="12">
        <v>46143</v>
      </c>
      <c r="E18" s="12">
        <v>46144</v>
      </c>
      <c r="F18" s="13">
        <f>E18-D18</f>
        <v>1</v>
      </c>
      <c r="G18" s="10" t="s">
        <v>81</v>
      </c>
      <c r="H18" s="10" t="s">
        <v>19</v>
      </c>
      <c r="I18" s="10" t="s">
        <v>20</v>
      </c>
      <c r="J18" s="10" t="s">
        <v>52</v>
      </c>
      <c r="K18" s="10" t="str">
        <f ca="1">IF(G18="Completed","✅ Done",IF(AND(E18&lt;TODAY(),G18&lt;&gt;"Completed"),"⚠️ Overdue",IF(G18="Blocked","🔴 Blocked","🟢 On Track")))</f>
        <v>✅ Done</v>
      </c>
      <c r="L18" s="11" t="s">
        <v>57</v>
      </c>
    </row>
    <row r="20" spans="1:12" ht="18" customHeight="1" x14ac:dyDescent="0.35">
      <c r="A20" s="29" t="s">
        <v>58</v>
      </c>
      <c r="B20" s="29"/>
      <c r="C20" s="29"/>
      <c r="D20" s="29"/>
      <c r="E20" s="29"/>
      <c r="F20" s="29"/>
      <c r="G20" s="29"/>
      <c r="H20" s="29"/>
      <c r="I20" s="29"/>
      <c r="J20" s="29"/>
      <c r="K20" s="29"/>
      <c r="L20" s="29"/>
    </row>
    <row r="21" spans="1:12" ht="19.5" customHeight="1" x14ac:dyDescent="0.35">
      <c r="A21" s="14" t="s">
        <v>59</v>
      </c>
      <c r="B21" s="15" t="s">
        <v>60</v>
      </c>
      <c r="C21" s="15" t="s">
        <v>61</v>
      </c>
      <c r="D21" s="16">
        <v>46147</v>
      </c>
      <c r="E21" s="16">
        <v>46162</v>
      </c>
      <c r="F21" s="17">
        <f>E21-D21</f>
        <v>15</v>
      </c>
      <c r="G21" s="14" t="s">
        <v>81</v>
      </c>
      <c r="H21" s="14" t="s">
        <v>19</v>
      </c>
      <c r="I21" s="14" t="s">
        <v>26</v>
      </c>
      <c r="J21" s="14" t="s">
        <v>55</v>
      </c>
      <c r="K21" s="14" t="str">
        <f ca="1">IF(G21="Completed","✅ Done",IF(AND(E21&lt;TODAY(),G21&lt;&gt;"Completed"),"⚠️ Overdue",IF(G21="Blocked","🔴 Blocked","🟢 On Track")))</f>
        <v>✅ Done</v>
      </c>
      <c r="L21" s="15" t="s">
        <v>62</v>
      </c>
    </row>
    <row r="22" spans="1:12" ht="19.5" customHeight="1" x14ac:dyDescent="0.35">
      <c r="A22" s="14" t="s">
        <v>63</v>
      </c>
      <c r="B22" s="15" t="s">
        <v>64</v>
      </c>
      <c r="C22" s="15" t="s">
        <v>61</v>
      </c>
      <c r="D22" s="16">
        <v>46157</v>
      </c>
      <c r="E22" s="16">
        <v>46170</v>
      </c>
      <c r="F22" s="17">
        <f>E22-D22</f>
        <v>13</v>
      </c>
      <c r="G22" s="14" t="s">
        <v>80</v>
      </c>
      <c r="H22" s="14" t="s">
        <v>19</v>
      </c>
      <c r="I22" s="14" t="s">
        <v>26</v>
      </c>
      <c r="J22" s="14" t="s">
        <v>59</v>
      </c>
      <c r="K22" s="14" t="str">
        <f ca="1">IF(G22="Completed","✅ Done",IF(AND(E22&lt;TODAY(),G22&lt;&gt;"Completed"),"⚠️ Overdue",IF(G22="Blocked","🔴 Blocked","🟢 On Track")))</f>
        <v>⚠️ Overdue</v>
      </c>
      <c r="L22" s="15" t="s">
        <v>65</v>
      </c>
    </row>
    <row r="23" spans="1:12" ht="19.5" customHeight="1" x14ac:dyDescent="0.35">
      <c r="A23" s="14" t="s">
        <v>66</v>
      </c>
      <c r="B23" s="15" t="s">
        <v>67</v>
      </c>
      <c r="C23" s="15" t="s">
        <v>39</v>
      </c>
      <c r="D23" s="16">
        <v>46171</v>
      </c>
      <c r="E23" s="16">
        <v>46178</v>
      </c>
      <c r="F23" s="17">
        <f>E23-D23</f>
        <v>7</v>
      </c>
      <c r="G23" s="14" t="s">
        <v>18</v>
      </c>
      <c r="H23" s="14" t="s">
        <v>31</v>
      </c>
      <c r="I23" s="14" t="s">
        <v>26</v>
      </c>
      <c r="J23" s="14" t="s">
        <v>63</v>
      </c>
      <c r="K23" s="14" t="str">
        <f ca="1">IF(G23="Completed","✅ Done",IF(AND(E23&lt;TODAY(),G23&lt;&gt;"Completed"),"⚠️ Overdue",IF(G23="Blocked","🔴 Blocked","🟢 On Track")))</f>
        <v>⚠️ Overdue</v>
      </c>
      <c r="L23" s="15" t="s">
        <v>68</v>
      </c>
    </row>
    <row r="25" spans="1:12" ht="18" customHeight="1" x14ac:dyDescent="0.35">
      <c r="A25" s="29" t="s">
        <v>69</v>
      </c>
      <c r="B25" s="29"/>
      <c r="C25" s="29"/>
      <c r="D25" s="29"/>
      <c r="E25" s="29"/>
      <c r="F25" s="29"/>
      <c r="G25" s="29"/>
      <c r="H25" s="29"/>
      <c r="I25" s="29"/>
      <c r="J25" s="29"/>
      <c r="K25" s="29"/>
      <c r="L25" s="29"/>
    </row>
    <row r="26" spans="1:12" ht="19.5" customHeight="1" x14ac:dyDescent="0.35">
      <c r="A26" s="2" t="s">
        <v>70</v>
      </c>
      <c r="B26" s="3" t="s">
        <v>71</v>
      </c>
      <c r="C26" s="3" t="s">
        <v>17</v>
      </c>
      <c r="D26" s="4">
        <v>46179</v>
      </c>
      <c r="E26" s="4">
        <v>46180</v>
      </c>
      <c r="F26" s="5">
        <f>E26-D26</f>
        <v>1</v>
      </c>
      <c r="G26" s="2" t="s">
        <v>18</v>
      </c>
      <c r="H26" s="2" t="s">
        <v>19</v>
      </c>
      <c r="I26" s="2" t="s">
        <v>20</v>
      </c>
      <c r="J26" s="2" t="s">
        <v>66</v>
      </c>
      <c r="K26" s="2" t="str">
        <f ca="1">IF(G26="Completed","✅ Done",IF(AND(E26&lt;TODAY(),G26&lt;&gt;"Completed"),"⚠️ Overdue",IF(G26="Blocked","🔴 Blocked","🟢 On Track")))</f>
        <v>⚠️ Overdue</v>
      </c>
      <c r="L26" s="3" t="s">
        <v>72</v>
      </c>
    </row>
    <row r="27" spans="1:12" ht="19.5" customHeight="1" x14ac:dyDescent="0.35">
      <c r="A27" s="2" t="s">
        <v>73</v>
      </c>
      <c r="B27" s="3" t="s">
        <v>74</v>
      </c>
      <c r="C27" s="3" t="s">
        <v>61</v>
      </c>
      <c r="D27" s="4">
        <v>46183</v>
      </c>
      <c r="E27" s="4">
        <v>46183</v>
      </c>
      <c r="F27" s="5">
        <f>E27-D27</f>
        <v>0</v>
      </c>
      <c r="G27" s="2" t="s">
        <v>18</v>
      </c>
      <c r="H27" s="2" t="s">
        <v>19</v>
      </c>
      <c r="I27" s="2" t="s">
        <v>20</v>
      </c>
      <c r="J27" s="2" t="s">
        <v>70</v>
      </c>
      <c r="K27" s="2" t="str">
        <f ca="1">IF(G27="Completed","✅ Done",IF(AND(E27&lt;TODAY(),G27&lt;&gt;"Completed"),"⚠️ Overdue",IF(G27="Blocked","🔴 Blocked","🟢 On Track")))</f>
        <v>⚠️ Overdue</v>
      </c>
      <c r="L27" s="3" t="s">
        <v>75</v>
      </c>
    </row>
  </sheetData>
  <mergeCells count="7">
    <mergeCell ref="A20:L20"/>
    <mergeCell ref="A25:L25"/>
    <mergeCell ref="A1:L1"/>
    <mergeCell ref="A2:L2"/>
    <mergeCell ref="A4:L4"/>
    <mergeCell ref="A9:L9"/>
    <mergeCell ref="A15:L15"/>
  </mergeCells>
  <conditionalFormatting sqref="G4:G29">
    <cfRule type="cellIs" dxfId="7" priority="2" operator="equal">
      <formula>"Completed"</formula>
    </cfRule>
    <cfRule type="cellIs" dxfId="6" priority="3" operator="equal">
      <formula>"In Progress"</formula>
    </cfRule>
    <cfRule type="cellIs" dxfId="5" priority="4" operator="equal">
      <formula>"Blocked"</formula>
    </cfRule>
    <cfRule type="cellIs" dxfId="4" priority="5" operator="equal">
      <formula>"At Risk"</formula>
    </cfRule>
  </conditionalFormatting>
  <conditionalFormatting sqref="H4:H29">
    <cfRule type="cellIs" dxfId="3" priority="6" operator="equal">
      <formula>"High"</formula>
    </cfRule>
    <cfRule type="cellIs" dxfId="2" priority="7" operator="equal">
      <formula>"Medium"</formula>
    </cfRule>
    <cfRule type="cellIs" dxfId="1" priority="8" operator="equal">
      <formula>"Low"</formula>
    </cfRule>
  </conditionalFormatting>
  <conditionalFormatting sqref="I4:I29">
    <cfRule type="cellIs" dxfId="0" priority="9" operator="equal">
      <formula>"Yes"</formula>
    </cfRule>
  </conditionalFormatting>
  <dataValidations count="3">
    <dataValidation type="list" sqref="G4:G29" xr:uid="{00000000-0002-0000-0000-000000000000}">
      <formula1>"Not Started,In Progress,Completed,Blocked,At Risk"</formula1>
      <formula2>0</formula2>
    </dataValidation>
    <dataValidation type="list" sqref="H4:H29" xr:uid="{00000000-0002-0000-0000-000001000000}">
      <formula1>"High,Medium,Low"</formula1>
      <formula2>0</formula2>
    </dataValidation>
    <dataValidation type="list" sqref="I4:I29" xr:uid="{00000000-0002-0000-0000-000002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
  <sheetViews>
    <sheetView zoomScaleNormal="100" workbookViewId="0">
      <selection activeCell="E6" sqref="E6"/>
    </sheetView>
  </sheetViews>
  <sheetFormatPr defaultColWidth="8.6328125" defaultRowHeight="14.5" x14ac:dyDescent="0.35"/>
  <cols>
    <col min="1" max="1" width="22" customWidth="1"/>
    <col min="2" max="2" width="16" customWidth="1"/>
    <col min="3" max="3" width="5" customWidth="1"/>
    <col min="4" max="4" width="22" customWidth="1"/>
    <col min="5" max="5" width="16" customWidth="1"/>
  </cols>
  <sheetData>
    <row r="1" spans="1:8" ht="31.5" customHeight="1" x14ac:dyDescent="0.35">
      <c r="A1" s="32" t="s">
        <v>76</v>
      </c>
      <c r="B1" s="32"/>
      <c r="C1" s="32"/>
      <c r="D1" s="32"/>
      <c r="E1" s="32"/>
      <c r="F1" s="32"/>
      <c r="G1" s="32"/>
      <c r="H1" s="32"/>
    </row>
    <row r="2" spans="1:8" ht="24" customHeight="1" x14ac:dyDescent="0.35">
      <c r="A2" s="33" t="s">
        <v>77</v>
      </c>
      <c r="B2" s="33"/>
      <c r="D2" s="33" t="s">
        <v>78</v>
      </c>
      <c r="E2" s="33"/>
    </row>
    <row r="3" spans="1:8" ht="19.5" customHeight="1" x14ac:dyDescent="0.35">
      <c r="A3" s="18" t="s">
        <v>18</v>
      </c>
      <c r="B3" s="19">
        <f>COUNTIF('Project Tracker'!G:G,"Not Started")</f>
        <v>3</v>
      </c>
      <c r="D3" s="18" t="s">
        <v>79</v>
      </c>
      <c r="E3" s="19">
        <f>COUNTIF('Project Tracker'!I:I,"Yes")</f>
        <v>5</v>
      </c>
    </row>
    <row r="4" spans="1:8" ht="19.5" customHeight="1" x14ac:dyDescent="0.35">
      <c r="A4" s="18" t="s">
        <v>80</v>
      </c>
      <c r="B4" s="19">
        <f>COUNTIF('Project Tracker'!G:G,"In Progress")</f>
        <v>1</v>
      </c>
    </row>
    <row r="5" spans="1:8" ht="19.5" customHeight="1" x14ac:dyDescent="0.35">
      <c r="A5" s="18" t="s">
        <v>81</v>
      </c>
      <c r="B5" s="19">
        <f>COUNTIF('Project Tracker'!G:G,"Completed")</f>
        <v>11</v>
      </c>
      <c r="D5" s="34" t="s">
        <v>82</v>
      </c>
      <c r="E5" s="34"/>
    </row>
    <row r="6" spans="1:8" ht="19.5" customHeight="1" x14ac:dyDescent="0.35">
      <c r="A6" s="18" t="s">
        <v>83</v>
      </c>
      <c r="B6" s="19">
        <f>COUNTIF('Project Tracker'!G:G,"Blocked")</f>
        <v>0</v>
      </c>
      <c r="D6" s="18" t="s">
        <v>84</v>
      </c>
      <c r="E6" s="20">
        <f ca="1">COUNTIFS('Project Tracker'!E:E,"&lt;"&amp;TODAY(),'Project Tracker'!G:G,"&lt;&gt;Completed")</f>
        <v>4</v>
      </c>
    </row>
    <row r="7" spans="1:8" ht="19.5" customHeight="1" x14ac:dyDescent="0.35">
      <c r="A7" s="18" t="s">
        <v>85</v>
      </c>
      <c r="B7" s="19">
        <f>COUNTIF('Project Tracker'!G:G,"At Risk")</f>
        <v>0</v>
      </c>
    </row>
    <row r="8" spans="1:8" ht="19.5" customHeight="1" x14ac:dyDescent="0.35">
      <c r="A8" s="21" t="s">
        <v>86</v>
      </c>
      <c r="B8" s="22">
        <f>SUM(B3:B7)</f>
        <v>15</v>
      </c>
    </row>
    <row r="9" spans="1:8" ht="19.5" customHeight="1" x14ac:dyDescent="0.35"/>
    <row r="10" spans="1:8" ht="19.5" customHeight="1" x14ac:dyDescent="0.35">
      <c r="A10" s="33" t="s">
        <v>87</v>
      </c>
      <c r="B10" s="33"/>
    </row>
    <row r="11" spans="1:8" ht="19.5" customHeight="1" x14ac:dyDescent="0.35">
      <c r="A11" s="18" t="s">
        <v>19</v>
      </c>
      <c r="B11" s="23">
        <f>COUNTIF('Project Tracker'!H:H,"High")</f>
        <v>11</v>
      </c>
    </row>
    <row r="12" spans="1:8" ht="19.5" customHeight="1" x14ac:dyDescent="0.35">
      <c r="A12" s="18" t="s">
        <v>31</v>
      </c>
      <c r="B12" s="23">
        <f>COUNTIF('Project Tracker'!H:H,"Medium")</f>
        <v>4</v>
      </c>
    </row>
    <row r="13" spans="1:8" ht="19.5" customHeight="1" x14ac:dyDescent="0.35">
      <c r="A13" s="18" t="s">
        <v>88</v>
      </c>
      <c r="B13" s="23">
        <f>COUNTIF('Project Tracker'!H:H,"Low")</f>
        <v>0</v>
      </c>
    </row>
    <row r="14" spans="1:8" ht="19.5" customHeight="1" x14ac:dyDescent="0.35"/>
  </sheetData>
  <mergeCells count="5">
    <mergeCell ref="A1:H1"/>
    <mergeCell ref="A2:B2"/>
    <mergeCell ref="D2:E2"/>
    <mergeCell ref="D5:E5"/>
    <mergeCell ref="A10:B1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7"/>
  <sheetViews>
    <sheetView zoomScale="73" zoomScaleNormal="100" workbookViewId="0">
      <pane ySplit="2" topLeftCell="A8" activePane="bottomLeft" state="frozen"/>
      <selection pane="bottomLeft" sqref="A1:C1"/>
    </sheetView>
  </sheetViews>
  <sheetFormatPr defaultColWidth="8.6328125" defaultRowHeight="14.5" x14ac:dyDescent="0.35"/>
  <cols>
    <col min="1" max="1" width="6" customWidth="1"/>
    <col min="2" max="2" width="30" customWidth="1"/>
    <col min="3" max="3" width="60" customWidth="1"/>
  </cols>
  <sheetData>
    <row r="1" spans="1:3" ht="30" customHeight="1" x14ac:dyDescent="0.35">
      <c r="A1" s="35" t="s">
        <v>89</v>
      </c>
      <c r="B1" s="35"/>
      <c r="C1" s="35"/>
    </row>
    <row r="2" spans="1:3" ht="39.75" customHeight="1" x14ac:dyDescent="0.35">
      <c r="A2" s="24" t="s">
        <v>90</v>
      </c>
      <c r="B2" s="24" t="s">
        <v>91</v>
      </c>
      <c r="C2" s="24" t="s">
        <v>92</v>
      </c>
    </row>
    <row r="3" spans="1:3" ht="39.75" customHeight="1" x14ac:dyDescent="0.35">
      <c r="A3" s="25" t="s">
        <v>93</v>
      </c>
      <c r="B3" s="26" t="s">
        <v>94</v>
      </c>
      <c r="C3" s="26" t="s">
        <v>95</v>
      </c>
    </row>
    <row r="4" spans="1:3" ht="39.75" customHeight="1" x14ac:dyDescent="0.35">
      <c r="A4" s="25" t="s">
        <v>96</v>
      </c>
      <c r="B4" s="27" t="s">
        <v>97</v>
      </c>
      <c r="C4" s="27" t="s">
        <v>98</v>
      </c>
    </row>
    <row r="5" spans="1:3" ht="39.75" customHeight="1" x14ac:dyDescent="0.35">
      <c r="A5" s="25" t="s">
        <v>99</v>
      </c>
      <c r="B5" s="26" t="s">
        <v>100</v>
      </c>
      <c r="C5" s="26" t="s">
        <v>101</v>
      </c>
    </row>
    <row r="6" spans="1:3" ht="39.75" customHeight="1" x14ac:dyDescent="0.35">
      <c r="A6" s="25" t="s">
        <v>102</v>
      </c>
      <c r="B6" s="27" t="s">
        <v>103</v>
      </c>
      <c r="C6" s="27" t="s">
        <v>104</v>
      </c>
    </row>
    <row r="7" spans="1:3" ht="39.75" customHeight="1" x14ac:dyDescent="0.35">
      <c r="A7" s="25" t="s">
        <v>105</v>
      </c>
      <c r="B7" s="26" t="s">
        <v>106</v>
      </c>
      <c r="C7" s="26" t="s">
        <v>107</v>
      </c>
    </row>
    <row r="8" spans="1:3" ht="39.75" customHeight="1" x14ac:dyDescent="0.35">
      <c r="A8" s="25" t="s">
        <v>108</v>
      </c>
      <c r="B8" s="27" t="s">
        <v>109</v>
      </c>
      <c r="C8" s="27" t="s">
        <v>110</v>
      </c>
    </row>
    <row r="9" spans="1:3" ht="39.75" customHeight="1" x14ac:dyDescent="0.35">
      <c r="A9" s="25" t="s">
        <v>111</v>
      </c>
      <c r="B9" s="26" t="s">
        <v>112</v>
      </c>
      <c r="C9" s="26" t="s">
        <v>113</v>
      </c>
    </row>
    <row r="10" spans="1:3" ht="39.75" customHeight="1" x14ac:dyDescent="0.35">
      <c r="A10" s="25" t="s">
        <v>114</v>
      </c>
      <c r="B10" s="27" t="s">
        <v>115</v>
      </c>
      <c r="C10" s="27" t="s">
        <v>116</v>
      </c>
    </row>
    <row r="11" spans="1:3" ht="39.75" customHeight="1" x14ac:dyDescent="0.35">
      <c r="A11" s="25" t="s">
        <v>117</v>
      </c>
      <c r="B11" s="26" t="s">
        <v>118</v>
      </c>
      <c r="C11" s="26" t="s">
        <v>119</v>
      </c>
    </row>
    <row r="12" spans="1:3" ht="39.75" customHeight="1" x14ac:dyDescent="0.35">
      <c r="A12" s="25" t="s">
        <v>120</v>
      </c>
      <c r="B12" s="27" t="s">
        <v>121</v>
      </c>
      <c r="C12" s="27" t="s">
        <v>122</v>
      </c>
    </row>
    <row r="13" spans="1:3" ht="39.75" customHeight="1" x14ac:dyDescent="0.35">
      <c r="A13" s="25" t="s">
        <v>123</v>
      </c>
      <c r="B13" s="26" t="s">
        <v>124</v>
      </c>
      <c r="C13" s="26" t="s">
        <v>125</v>
      </c>
    </row>
    <row r="14" spans="1:3" ht="39.75" customHeight="1" x14ac:dyDescent="0.35">
      <c r="A14" s="25" t="s">
        <v>126</v>
      </c>
      <c r="B14" s="27" t="s">
        <v>127</v>
      </c>
      <c r="C14" s="27" t="s">
        <v>128</v>
      </c>
    </row>
    <row r="15" spans="1:3" ht="39.75" customHeight="1" x14ac:dyDescent="0.35">
      <c r="A15" s="25" t="s">
        <v>129</v>
      </c>
      <c r="B15" s="26" t="s">
        <v>130</v>
      </c>
      <c r="C15" s="26" t="s">
        <v>131</v>
      </c>
    </row>
    <row r="16" spans="1:3" ht="39.75" customHeight="1" x14ac:dyDescent="0.35">
      <c r="A16" s="25" t="s">
        <v>132</v>
      </c>
      <c r="B16" s="27" t="s">
        <v>133</v>
      </c>
      <c r="C16" s="27" t="s">
        <v>134</v>
      </c>
    </row>
    <row r="17" spans="1:3" ht="39.75" customHeight="1" x14ac:dyDescent="0.35">
      <c r="A17" s="25" t="s">
        <v>135</v>
      </c>
      <c r="B17" s="26" t="s">
        <v>136</v>
      </c>
      <c r="C17" s="26" t="s">
        <v>137</v>
      </c>
    </row>
  </sheetData>
  <mergeCells count="1">
    <mergeCell ref="A1:C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 Tracker</vt:lpstr>
      <vt:lpstr>Dashboard</vt:lpstr>
      <vt:lpstr>📚 Learning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Sappidi Laxmi Sri Sai</cp:lastModifiedBy>
  <cp:revision>0</cp:revision>
  <dcterms:created xsi:type="dcterms:W3CDTF">2026-05-24T08:28:33Z</dcterms:created>
  <dcterms:modified xsi:type="dcterms:W3CDTF">2026-08-11T04:34:42Z</dcterms:modified>
  <dc:language>en-US</dc:language>
</cp:coreProperties>
</file>